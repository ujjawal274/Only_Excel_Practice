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3F12B02-C039-415E-8D4C-98F2EB47A5A5}" xr6:coauthVersionLast="47" xr6:coauthVersionMax="47" xr10:uidLastSave="{00000000-0000-0000-0000-000000000000}"/>
  <bookViews>
    <workbookView xWindow="-120" yWindow="-120" windowWidth="20730" windowHeight="11040" activeTab="3" xr2:uid="{0538ABFE-AB6C-4C23-8C82-19551F5CF457}"/>
  </bookViews>
  <sheets>
    <sheet name="Excel_Main" sheetId="1" r:id="rId1"/>
    <sheet name="Practice_Excel" sheetId="2" r:id="rId2"/>
    <sheet name="Excel_Practice_25" sheetId="3" r:id="rId3"/>
    <sheet name="Level-Up Revision S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4" l="1"/>
  <c r="N6" i="4"/>
  <c r="N7" i="4"/>
  <c r="N8" i="4"/>
  <c r="N9" i="4"/>
  <c r="N10" i="4"/>
  <c r="N11" i="4"/>
  <c r="N4" i="4"/>
  <c r="L4" i="4"/>
  <c r="K4" i="4"/>
  <c r="J4" i="4"/>
  <c r="I28" i="4"/>
  <c r="I27" i="4"/>
  <c r="H11" i="4"/>
  <c r="H5" i="4"/>
  <c r="H6" i="4"/>
  <c r="H7" i="4"/>
  <c r="H8" i="4"/>
  <c r="H9" i="4"/>
  <c r="H10" i="4"/>
  <c r="H4" i="4"/>
  <c r="F49" i="3"/>
  <c r="E117" i="3"/>
  <c r="F117" i="3" s="1"/>
  <c r="G117" i="3" s="1"/>
  <c r="H117" i="3" s="1"/>
  <c r="E118" i="3"/>
  <c r="F118" i="3" s="1"/>
  <c r="G118" i="3" s="1"/>
  <c r="H118" i="3" s="1"/>
  <c r="E119" i="3"/>
  <c r="F119" i="3" s="1"/>
  <c r="G119" i="3" s="1"/>
  <c r="H119" i="3" s="1"/>
  <c r="E120" i="3"/>
  <c r="F120" i="3" s="1"/>
  <c r="G120" i="3" s="1"/>
  <c r="H120" i="3" s="1"/>
  <c r="E121" i="3"/>
  <c r="F121" i="3" s="1"/>
  <c r="G121" i="3" s="1"/>
  <c r="H121" i="3" s="1"/>
  <c r="E116" i="3"/>
  <c r="F116" i="3" s="1"/>
  <c r="G116" i="3" s="1"/>
  <c r="H116" i="3" s="1"/>
  <c r="E92" i="3"/>
  <c r="F92" i="3" s="1"/>
  <c r="A109" i="3" s="1"/>
  <c r="E93" i="3"/>
  <c r="F93" i="3" s="1"/>
  <c r="A110" i="3" s="1"/>
  <c r="E94" i="3"/>
  <c r="F94" i="3" s="1"/>
  <c r="A111" i="3" s="1"/>
  <c r="E91" i="3"/>
  <c r="F91" i="3" s="1"/>
  <c r="A108" i="3" s="1"/>
  <c r="E90" i="3"/>
  <c r="F90" i="3" s="1"/>
  <c r="A107" i="3" s="1"/>
  <c r="E81" i="3"/>
  <c r="D72" i="3" a="1"/>
  <c r="D72" i="3" s="1"/>
  <c r="C72" i="3"/>
  <c r="E64" i="3"/>
  <c r="G58" i="3"/>
  <c r="C31" i="3"/>
  <c r="D22" i="3"/>
  <c r="C22" i="3"/>
  <c r="C16" i="3"/>
  <c r="C17" i="3"/>
  <c r="C15" i="3"/>
  <c r="C14" i="3"/>
  <c r="E8" i="3"/>
  <c r="E9" i="3"/>
  <c r="E7" i="3"/>
  <c r="E6" i="3"/>
  <c r="B149" i="2"/>
  <c r="E274" i="2"/>
  <c r="E275" i="2"/>
  <c r="E276" i="2"/>
  <c r="E277" i="2"/>
  <c r="F277" i="2" s="1"/>
  <c r="G277" i="2" s="1"/>
  <c r="E273" i="2"/>
  <c r="F273" i="2" s="1"/>
  <c r="G273" i="2" s="1"/>
  <c r="F275" i="2"/>
  <c r="G275" i="2" s="1"/>
  <c r="D78" i="2"/>
  <c r="D79" i="2"/>
  <c r="D77" i="2"/>
  <c r="D176" i="2"/>
  <c r="F274" i="2"/>
  <c r="G274" i="2" s="1"/>
  <c r="F276" i="2"/>
  <c r="G276" i="2" s="1"/>
  <c r="G265" i="2"/>
  <c r="F256" i="2"/>
  <c r="E248" i="2"/>
  <c r="F241" i="2"/>
  <c r="D235" i="2"/>
  <c r="D234" i="2"/>
  <c r="F228" i="2"/>
  <c r="F227" i="2"/>
  <c r="F218" i="2"/>
  <c r="E209" i="2"/>
  <c r="G200" i="2"/>
  <c r="D178" i="2"/>
  <c r="F192" i="2"/>
  <c r="D185" i="2"/>
  <c r="D186" i="2"/>
  <c r="D187" i="2"/>
  <c r="D184" i="2"/>
  <c r="D169" i="2"/>
  <c r="D167" i="2"/>
  <c r="F158" i="2"/>
  <c r="C161" i="2"/>
  <c r="C158" i="2"/>
  <c r="F142" i="2"/>
  <c r="G141" i="2"/>
  <c r="F141" i="2"/>
  <c r="H135" i="2"/>
  <c r="H127" i="2"/>
  <c r="G126" i="2"/>
  <c r="C117" i="2"/>
  <c r="C111" i="2"/>
  <c r="C112" i="2"/>
  <c r="C110" i="2"/>
  <c r="C109" i="2"/>
  <c r="D100" i="2"/>
  <c r="C100" i="2"/>
  <c r="D71" i="2"/>
  <c r="D72" i="2"/>
  <c r="D70" i="2"/>
  <c r="I57" i="2"/>
  <c r="N57" i="2"/>
  <c r="M57" i="2"/>
  <c r="L57" i="2"/>
  <c r="K57" i="2"/>
  <c r="J57" i="2"/>
  <c r="H57" i="2"/>
  <c r="G57" i="2"/>
  <c r="N61" i="2"/>
  <c r="N60" i="2"/>
  <c r="N58" i="2"/>
  <c r="N59" i="2"/>
  <c r="M62" i="2"/>
  <c r="M61" i="2"/>
  <c r="M60" i="2"/>
  <c r="M59" i="2"/>
  <c r="M58" i="2"/>
  <c r="L61" i="2"/>
  <c r="L62" i="2"/>
  <c r="L60" i="2"/>
  <c r="L59" i="2"/>
  <c r="L58" i="2"/>
  <c r="K61" i="2"/>
  <c r="K62" i="2"/>
  <c r="K60" i="2"/>
  <c r="K59" i="2"/>
  <c r="K58" i="2"/>
  <c r="J62" i="2"/>
  <c r="N62" i="2" s="1"/>
  <c r="J61" i="2"/>
  <c r="J60" i="2"/>
  <c r="J59" i="2"/>
  <c r="J58" i="2"/>
  <c r="I62" i="2"/>
  <c r="I61" i="2"/>
  <c r="I60" i="2"/>
  <c r="I59" i="2"/>
  <c r="I58" i="2"/>
  <c r="H61" i="2"/>
  <c r="H62" i="2"/>
  <c r="H60" i="2"/>
  <c r="H59" i="2"/>
  <c r="H58" i="2"/>
  <c r="G62" i="2"/>
  <c r="G61" i="2"/>
  <c r="G60" i="2"/>
  <c r="G59" i="2"/>
  <c r="G58" i="2"/>
  <c r="S47" i="2"/>
  <c r="S48" i="2"/>
  <c r="S49" i="2"/>
  <c r="S50" i="2"/>
  <c r="S46" i="2"/>
  <c r="S45" i="2"/>
  <c r="S44" i="2"/>
  <c r="S43" i="2"/>
  <c r="T46" i="2"/>
  <c r="T45" i="2"/>
  <c r="T44" i="2"/>
  <c r="T43" i="2"/>
  <c r="P43" i="2"/>
  <c r="Q43" i="2" s="1"/>
  <c r="O43" i="2"/>
  <c r="M43" i="2"/>
  <c r="L43" i="2"/>
  <c r="K43" i="2"/>
  <c r="J43" i="2"/>
  <c r="I43" i="2"/>
  <c r="H43" i="2"/>
  <c r="Q47" i="2"/>
  <c r="Q48" i="2"/>
  <c r="P44" i="2"/>
  <c r="Q44" i="2" s="1"/>
  <c r="P45" i="2"/>
  <c r="Q45" i="2" s="1"/>
  <c r="P46" i="2"/>
  <c r="Q46" i="2" s="1"/>
  <c r="P47" i="2"/>
  <c r="P48" i="2"/>
  <c r="P49" i="2"/>
  <c r="Q49" i="2" s="1"/>
  <c r="P50" i="2"/>
  <c r="Q50" i="2" s="1"/>
  <c r="O45" i="2"/>
  <c r="O44" i="2"/>
  <c r="M47" i="2"/>
  <c r="M48" i="2"/>
  <c r="M49" i="2"/>
  <c r="M50" i="2"/>
  <c r="M46" i="2"/>
  <c r="M45" i="2"/>
  <c r="M44" i="2"/>
  <c r="L47" i="2"/>
  <c r="L48" i="2"/>
  <c r="L49" i="2"/>
  <c r="L50" i="2"/>
  <c r="L46" i="2"/>
  <c r="L45" i="2"/>
  <c r="L44" i="2"/>
  <c r="K47" i="2"/>
  <c r="K48" i="2"/>
  <c r="K49" i="2"/>
  <c r="K50" i="2"/>
  <c r="K46" i="2"/>
  <c r="K45" i="2"/>
  <c r="K44" i="2"/>
  <c r="J44" i="2"/>
  <c r="J45" i="2"/>
  <c r="J46" i="2"/>
  <c r="J47" i="2"/>
  <c r="J48" i="2"/>
  <c r="J49" i="2"/>
  <c r="J50" i="2"/>
  <c r="I47" i="2"/>
  <c r="I48" i="2"/>
  <c r="I49" i="2"/>
  <c r="I50" i="2"/>
  <c r="I46" i="2"/>
  <c r="I45" i="2"/>
  <c r="I44" i="2"/>
  <c r="H47" i="2"/>
  <c r="H48" i="2"/>
  <c r="H49" i="2"/>
  <c r="H50" i="2"/>
  <c r="H46" i="2"/>
  <c r="H44" i="2"/>
  <c r="H45" i="2"/>
  <c r="U34" i="2"/>
  <c r="U35" i="2"/>
  <c r="U36" i="2"/>
  <c r="U33" i="2"/>
  <c r="U32" i="2"/>
  <c r="U31" i="2"/>
  <c r="U30" i="2"/>
  <c r="U29" i="2"/>
  <c r="C190" i="1"/>
  <c r="P29" i="2"/>
  <c r="O29" i="2"/>
  <c r="M29" i="2"/>
  <c r="K29" i="2"/>
  <c r="J29" i="2"/>
  <c r="L29" i="2" s="1"/>
  <c r="R31" i="2"/>
  <c r="R32" i="2"/>
  <c r="R33" i="2"/>
  <c r="R34" i="2"/>
  <c r="R35" i="2"/>
  <c r="R36" i="2"/>
  <c r="R30" i="2"/>
  <c r="R29" i="2"/>
  <c r="P33" i="2"/>
  <c r="P34" i="2"/>
  <c r="P35" i="2"/>
  <c r="P36" i="2"/>
  <c r="P32" i="2"/>
  <c r="P31" i="2"/>
  <c r="P30" i="2"/>
  <c r="O33" i="2"/>
  <c r="O34" i="2"/>
  <c r="O35" i="2"/>
  <c r="O36" i="2"/>
  <c r="O32" i="2"/>
  <c r="O31" i="2"/>
  <c r="O30" i="2"/>
  <c r="N34" i="2"/>
  <c r="M33" i="2"/>
  <c r="M34" i="2"/>
  <c r="M35" i="2"/>
  <c r="M36" i="2"/>
  <c r="M32" i="2"/>
  <c r="M31" i="2"/>
  <c r="M30" i="2"/>
  <c r="K33" i="2"/>
  <c r="K34" i="2"/>
  <c r="K35" i="2"/>
  <c r="K36" i="2"/>
  <c r="K32" i="2"/>
  <c r="K31" i="2"/>
  <c r="K30" i="2"/>
  <c r="J35" i="2"/>
  <c r="J36" i="2"/>
  <c r="J34" i="2"/>
  <c r="L34" i="2" s="1"/>
  <c r="J33" i="2"/>
  <c r="N33" i="2" s="1"/>
  <c r="J32" i="2"/>
  <c r="N32" i="2" s="1"/>
  <c r="J31" i="2"/>
  <c r="J30" i="2"/>
  <c r="L30" i="2" s="1"/>
  <c r="D22" i="2"/>
  <c r="D21" i="2"/>
  <c r="D20" i="2"/>
  <c r="G197" i="1"/>
  <c r="M8" i="2"/>
  <c r="H8" i="2"/>
  <c r="M15" i="2"/>
  <c r="M14" i="2"/>
  <c r="M13" i="2"/>
  <c r="M12" i="2"/>
  <c r="M11" i="2"/>
  <c r="M10" i="2"/>
  <c r="M9" i="2"/>
  <c r="K10" i="2"/>
  <c r="H15" i="2"/>
  <c r="H14" i="2"/>
  <c r="H13" i="2"/>
  <c r="H12" i="2"/>
  <c r="H11" i="2"/>
  <c r="H10" i="2"/>
  <c r="H9" i="2"/>
  <c r="F8" i="2"/>
  <c r="K8" i="2" s="1"/>
  <c r="F12" i="2"/>
  <c r="J12" i="2" s="1"/>
  <c r="F13" i="2"/>
  <c r="L13" i="2" s="1"/>
  <c r="F14" i="2"/>
  <c r="N14" i="2" s="1"/>
  <c r="F15" i="2"/>
  <c r="J15" i="2" s="1"/>
  <c r="F11" i="2"/>
  <c r="N11" i="2" s="1"/>
  <c r="F9" i="2"/>
  <c r="J9" i="2" s="1"/>
  <c r="F10" i="2"/>
  <c r="L10" i="2" s="1"/>
  <c r="C295" i="1"/>
  <c r="C296" i="1"/>
  <c r="C298" i="1"/>
  <c r="C297" i="1"/>
  <c r="C287" i="1"/>
  <c r="C290" i="1"/>
  <c r="C289" i="1"/>
  <c r="C288" i="1"/>
  <c r="C279" i="1"/>
  <c r="C272" i="1"/>
  <c r="C281" i="1"/>
  <c r="C282" i="1"/>
  <c r="C280" i="1"/>
  <c r="C270" i="1"/>
  <c r="C273" i="1"/>
  <c r="C271" i="1"/>
  <c r="E262" i="1"/>
  <c r="E263" i="1"/>
  <c r="E264" i="1"/>
  <c r="E261" i="1"/>
  <c r="E260" i="1"/>
  <c r="B262" i="1"/>
  <c r="B263" i="1"/>
  <c r="B264" i="1"/>
  <c r="B261" i="1"/>
  <c r="B260" i="1"/>
  <c r="H254" i="1"/>
  <c r="I254" i="1"/>
  <c r="F247" i="1"/>
  <c r="F246" i="1"/>
  <c r="F245" i="1"/>
  <c r="E236" i="1"/>
  <c r="E235" i="1"/>
  <c r="E227" i="1"/>
  <c r="E230" i="1"/>
  <c r="E229" i="1"/>
  <c r="E228" i="1"/>
  <c r="G218" i="1"/>
  <c r="F214" i="1"/>
  <c r="F213" i="1"/>
  <c r="F212" i="1"/>
  <c r="F211" i="1"/>
  <c r="G205" i="1"/>
  <c r="F205" i="1"/>
  <c r="G204" i="1"/>
  <c r="F204" i="1"/>
  <c r="E199" i="1"/>
  <c r="E198" i="1"/>
  <c r="E197" i="1"/>
  <c r="E194" i="1"/>
  <c r="C191" i="1"/>
  <c r="C189" i="1"/>
  <c r="C186" i="1"/>
  <c r="C185" i="1"/>
  <c r="E182" i="1"/>
  <c r="E181" i="1"/>
  <c r="E180" i="1"/>
  <c r="D182" i="1"/>
  <c r="D181" i="1"/>
  <c r="D180" i="1"/>
  <c r="D176" i="1"/>
  <c r="D177" i="1"/>
  <c r="D175" i="1"/>
  <c r="C170" i="1"/>
  <c r="C171" i="1"/>
  <c r="C169" i="1"/>
  <c r="E131" i="1"/>
  <c r="E132" i="1"/>
  <c r="E130" i="1"/>
  <c r="B165" i="1"/>
  <c r="B164" i="1"/>
  <c r="B163" i="1"/>
  <c r="B162" i="1"/>
  <c r="B158" i="1"/>
  <c r="B157" i="1"/>
  <c r="B156" i="1"/>
  <c r="B155" i="1"/>
  <c r="C151" i="1"/>
  <c r="D150" i="1"/>
  <c r="C150" i="1"/>
  <c r="C149" i="1"/>
  <c r="C137" i="1"/>
  <c r="C138" i="1"/>
  <c r="D143" i="1"/>
  <c r="D144" i="1"/>
  <c r="D145" i="1"/>
  <c r="D142" i="1"/>
  <c r="C143" i="1"/>
  <c r="C144" i="1"/>
  <c r="C145" i="1"/>
  <c r="C142" i="1"/>
  <c r="B143" i="1"/>
  <c r="B144" i="1"/>
  <c r="B145" i="1"/>
  <c r="B142" i="1"/>
  <c r="C136" i="1"/>
  <c r="C131" i="1"/>
  <c r="C132" i="1"/>
  <c r="C130" i="1"/>
  <c r="B123" i="1"/>
  <c r="B124" i="1"/>
  <c r="B125" i="1"/>
  <c r="B126" i="1"/>
  <c r="B122" i="1"/>
  <c r="B115" i="1"/>
  <c r="B116" i="1"/>
  <c r="B117" i="1"/>
  <c r="B118" i="1"/>
  <c r="B114" i="1"/>
  <c r="C110" i="1"/>
  <c r="C109" i="1"/>
  <c r="C108" i="1"/>
  <c r="I63" i="1"/>
  <c r="I62" i="1"/>
  <c r="I61" i="1"/>
  <c r="I60" i="1"/>
  <c r="F99" i="1"/>
  <c r="C90" i="1"/>
  <c r="H82" i="1"/>
  <c r="F74" i="1"/>
  <c r="E67" i="1"/>
  <c r="G60" i="1"/>
  <c r="F60" i="1"/>
  <c r="J56" i="1"/>
  <c r="J55" i="1"/>
  <c r="J54" i="1"/>
  <c r="J53" i="1"/>
  <c r="G53" i="1"/>
  <c r="F53" i="1"/>
  <c r="G46" i="1"/>
  <c r="F46" i="1"/>
  <c r="E40" i="1"/>
  <c r="E41" i="1"/>
  <c r="E39" i="1"/>
  <c r="D40" i="1"/>
  <c r="D41" i="1"/>
  <c r="D39" i="1"/>
  <c r="C24" i="1"/>
  <c r="C32" i="1"/>
  <c r="C33" i="1"/>
  <c r="C34" i="1"/>
  <c r="D34" i="1" s="1"/>
  <c r="D32" i="1"/>
  <c r="D33" i="1"/>
  <c r="C31" i="1"/>
  <c r="D31" i="1" s="1"/>
  <c r="C22" i="1"/>
  <c r="C23" i="1"/>
  <c r="C21" i="1"/>
  <c r="B18" i="1"/>
  <c r="B17" i="1"/>
  <c r="B16" i="1"/>
  <c r="B15" i="1"/>
  <c r="B14" i="1"/>
  <c r="D12" i="1"/>
  <c r="D10" i="1"/>
  <c r="D11" i="1"/>
  <c r="D9" i="1"/>
  <c r="I4" i="4" l="1"/>
  <c r="Q29" i="2"/>
  <c r="N31" i="2"/>
  <c r="N35" i="2"/>
  <c r="L33" i="2"/>
  <c r="N30" i="2"/>
  <c r="Q32" i="2"/>
  <c r="Q31" i="2"/>
  <c r="L35" i="2"/>
  <c r="N9" i="2"/>
  <c r="L15" i="2"/>
  <c r="Q35" i="2"/>
  <c r="Q34" i="2"/>
  <c r="N29" i="2"/>
  <c r="G9" i="2"/>
  <c r="K9" i="2"/>
  <c r="N36" i="2"/>
  <c r="Q33" i="2"/>
  <c r="L9" i="2"/>
  <c r="Q30" i="2"/>
  <c r="L11" i="2"/>
  <c r="Q36" i="2"/>
  <c r="L14" i="2"/>
  <c r="G15" i="2"/>
  <c r="G8" i="2"/>
  <c r="L12" i="2"/>
  <c r="L31" i="2"/>
  <c r="N10" i="2"/>
  <c r="J10" i="2"/>
  <c r="L8" i="2"/>
  <c r="L32" i="2"/>
  <c r="J14" i="2"/>
  <c r="K14" i="2"/>
  <c r="J13" i="2"/>
  <c r="J8" i="2"/>
  <c r="L36" i="2"/>
  <c r="G11" i="2"/>
  <c r="K15" i="2"/>
  <c r="G14" i="2"/>
  <c r="G13" i="2"/>
  <c r="G12" i="2"/>
  <c r="N12" i="2"/>
  <c r="K11" i="2"/>
  <c r="N13" i="2"/>
  <c r="N8" i="2"/>
  <c r="J11" i="2"/>
  <c r="K12" i="2"/>
  <c r="N15" i="2"/>
  <c r="G10" i="2"/>
  <c r="K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<sst xmlns="http://schemas.openxmlformats.org/spreadsheetml/2006/main" count="1233" uniqueCount="539">
  <si>
    <t>Name</t>
  </si>
  <si>
    <t>Age</t>
  </si>
  <si>
    <t>City</t>
  </si>
  <si>
    <t>Amit</t>
  </si>
  <si>
    <t>Neha</t>
  </si>
  <si>
    <t>Rahul</t>
  </si>
  <si>
    <t>Priya</t>
  </si>
  <si>
    <t>Delhi</t>
  </si>
  <si>
    <t>Mumbai</t>
  </si>
  <si>
    <t>Ranchi</t>
  </si>
  <si>
    <t>Kolkata</t>
  </si>
  <si>
    <t>Product</t>
  </si>
  <si>
    <t>Price</t>
  </si>
  <si>
    <t>Quantity</t>
  </si>
  <si>
    <t>Total</t>
  </si>
  <si>
    <t>Laptop</t>
  </si>
  <si>
    <t>Mouse</t>
  </si>
  <si>
    <t>Keyword</t>
  </si>
  <si>
    <t>sum</t>
  </si>
  <si>
    <t>Average</t>
  </si>
  <si>
    <t>Max</t>
  </si>
  <si>
    <t>min</t>
  </si>
  <si>
    <t>count</t>
  </si>
  <si>
    <t>Student</t>
  </si>
  <si>
    <t>Marks</t>
  </si>
  <si>
    <t>Result</t>
  </si>
  <si>
    <t>Total Marks</t>
  </si>
  <si>
    <t>Percentage</t>
  </si>
  <si>
    <t>Grade</t>
  </si>
  <si>
    <t>GST %</t>
  </si>
  <si>
    <t>Final Price</t>
  </si>
  <si>
    <t>GST Price</t>
  </si>
  <si>
    <t>Emp ID</t>
  </si>
  <si>
    <t>Department</t>
  </si>
  <si>
    <t>HR</t>
  </si>
  <si>
    <t>IT</t>
  </si>
  <si>
    <t>Sales</t>
  </si>
  <si>
    <t>Finance</t>
  </si>
  <si>
    <t xml:space="preserve">Name </t>
  </si>
  <si>
    <t>Product ID</t>
  </si>
  <si>
    <t>Keyboard</t>
  </si>
  <si>
    <t>Monitor</t>
  </si>
  <si>
    <t>Sum =</t>
  </si>
  <si>
    <t>Avg =</t>
  </si>
  <si>
    <t xml:space="preserve">IF = </t>
  </si>
  <si>
    <t>Vlookup =</t>
  </si>
  <si>
    <t>Salary</t>
  </si>
  <si>
    <t xml:space="preserve">Emp ID </t>
  </si>
  <si>
    <t>Total Sales Ranchi =</t>
  </si>
  <si>
    <t>Ranchi + Laptop ki Sales      =</t>
  </si>
  <si>
    <t>Ranchi + Laptop    =</t>
  </si>
  <si>
    <t>Code</t>
  </si>
  <si>
    <t>EMP101</t>
  </si>
  <si>
    <t>EMP205</t>
  </si>
  <si>
    <t>EMP309</t>
  </si>
  <si>
    <t>Text</t>
  </si>
  <si>
    <t>Amit Kumar</t>
  </si>
  <si>
    <t>Length</t>
  </si>
  <si>
    <t>Raw Text</t>
  </si>
  <si>
    <t>Cleaned Text</t>
  </si>
  <si>
    <t xml:space="preserve">      Amit </t>
  </si>
  <si>
    <t xml:space="preserve"> Rahul         </t>
  </si>
  <si>
    <t xml:space="preserve">  Neha           Sharma  </t>
  </si>
  <si>
    <t>SurajKumar</t>
  </si>
  <si>
    <t xml:space="preserve">             Data   Analyst    </t>
  </si>
  <si>
    <t>First Name</t>
  </si>
  <si>
    <t>Last Name</t>
  </si>
  <si>
    <t xml:space="preserve">Amit </t>
  </si>
  <si>
    <t>Kumar</t>
  </si>
  <si>
    <t>Verma</t>
  </si>
  <si>
    <t>Sarma</t>
  </si>
  <si>
    <t>Full Name</t>
  </si>
  <si>
    <t>Date</t>
  </si>
  <si>
    <t>Amount</t>
  </si>
  <si>
    <t>Text Func</t>
  </si>
  <si>
    <t>Raw Name</t>
  </si>
  <si>
    <t>amit kumar</t>
  </si>
  <si>
    <t>RAHUL SHARMA</t>
  </si>
  <si>
    <t>nEhA vErMa</t>
  </si>
  <si>
    <t>UPPER</t>
  </si>
  <si>
    <t>LOWER</t>
  </si>
  <si>
    <t>PROPER</t>
  </si>
  <si>
    <t>kARan GuPTa</t>
  </si>
  <si>
    <t>Data Analyst</t>
  </si>
  <si>
    <t>Microsoft Excel</t>
  </si>
  <si>
    <t>Power BI</t>
  </si>
  <si>
    <t>Data-Analyst</t>
  </si>
  <si>
    <t>Rahul_Kumar</t>
  </si>
  <si>
    <t>Excel,Formula</t>
  </si>
  <si>
    <t>Substitute</t>
  </si>
  <si>
    <t>Original</t>
  </si>
  <si>
    <t>REPLACE</t>
  </si>
  <si>
    <t>&amp;</t>
  </si>
  <si>
    <t>TEXTJOIN()</t>
  </si>
  <si>
    <t>A(First Name)</t>
  </si>
  <si>
    <t>B(Last Name)</t>
  </si>
  <si>
    <t>C(Full Name</t>
  </si>
  <si>
    <t>Sharma</t>
  </si>
  <si>
    <t>After TEXTJOIN( )</t>
  </si>
  <si>
    <t>First</t>
  </si>
  <si>
    <t>Middle</t>
  </si>
  <si>
    <t>Last</t>
  </si>
  <si>
    <t>Singh</t>
  </si>
  <si>
    <t>TEXTJOIN( ) FALSE</t>
  </si>
  <si>
    <t>Country Code</t>
  </si>
  <si>
    <t>Number</t>
  </si>
  <si>
    <t>+91</t>
  </si>
  <si>
    <t>+1</t>
  </si>
  <si>
    <t>ID</t>
  </si>
  <si>
    <t>House</t>
  </si>
  <si>
    <t>Area</t>
  </si>
  <si>
    <t>State</t>
  </si>
  <si>
    <t>Harmu</t>
  </si>
  <si>
    <t>Jharkhand</t>
  </si>
  <si>
    <t>Middle Name</t>
  </si>
  <si>
    <t>Rani</t>
  </si>
  <si>
    <t>XLOOKUP</t>
  </si>
  <si>
    <t>EMP ID</t>
  </si>
  <si>
    <t>I tried vlookup for this =</t>
  </si>
  <si>
    <t>Karan</t>
  </si>
  <si>
    <t>A</t>
  </si>
  <si>
    <t>B</t>
  </si>
  <si>
    <t>Pass</t>
  </si>
  <si>
    <t>Second</t>
  </si>
  <si>
    <t>Distinction</t>
  </si>
  <si>
    <t>D</t>
  </si>
  <si>
    <t>E</t>
  </si>
  <si>
    <t>Match Mode</t>
  </si>
  <si>
    <t>Search Mode</t>
  </si>
  <si>
    <t>PRODUCT</t>
  </si>
  <si>
    <t>SALES</t>
  </si>
  <si>
    <t>INDEX+MATCH</t>
  </si>
  <si>
    <t>HLOOKUP</t>
  </si>
  <si>
    <t xml:space="preserve">Product </t>
  </si>
  <si>
    <t>Nested IF</t>
  </si>
  <si>
    <t>Attendance</t>
  </si>
  <si>
    <t>AND</t>
  </si>
  <si>
    <t>OR</t>
  </si>
  <si>
    <t>Experience</t>
  </si>
  <si>
    <t>IF + AND</t>
  </si>
  <si>
    <t>Salary ≥ 30000</t>
  </si>
  <si>
    <t>Experience ≥ 2</t>
  </si>
  <si>
    <t>IF + OR()</t>
  </si>
  <si>
    <t>CIBIL Score</t>
  </si>
  <si>
    <r>
      <t xml:space="preserve">Salary ≥ 50000 </t>
    </r>
    <r>
      <rPr>
        <b/>
        <sz val="11"/>
        <color theme="1"/>
        <rFont val="Aptos Narrow"/>
        <family val="2"/>
        <scheme val="minor"/>
      </rPr>
      <t>YA</t>
    </r>
  </si>
  <si>
    <t>CIBIL Score ≥ 750</t>
  </si>
  <si>
    <t>"Loan Approved" "Loan Rejected"</t>
  </si>
  <si>
    <t xml:space="preserve">                     --</t>
  </si>
  <si>
    <t xml:space="preserve">           📊</t>
  </si>
  <si>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Practical  Table — Employee Data</t>
    </r>
  </si>
  <si>
    <t>Kunal</t>
  </si>
  <si>
    <t>Sneha</t>
  </si>
  <si>
    <t>Ravi</t>
  </si>
  <si>
    <t>Arjun</t>
  </si>
  <si>
    <t>Gupta</t>
  </si>
  <si>
    <t>Das</t>
  </si>
  <si>
    <t>Roy</t>
  </si>
  <si>
    <t>Mehta</t>
  </si>
  <si>
    <t>Marketing</t>
  </si>
  <si>
    <t>Pune</t>
  </si>
  <si>
    <t>Jamshedpur</t>
  </si>
  <si>
    <t>Patna</t>
  </si>
  <si>
    <t>Bangalore</t>
  </si>
  <si>
    <t>Employee ID + Name</t>
  </si>
  <si>
    <t>Name + Department</t>
  </si>
  <si>
    <t>Name + City</t>
  </si>
  <si>
    <t>Employee Information</t>
  </si>
  <si>
    <t>Dynamic Email ID</t>
  </si>
  <si>
    <t>Final Challenge 🔥</t>
  </si>
  <si>
    <t>Professional Employee Label</t>
  </si>
  <si>
    <t xml:space="preserve">Stu_ID </t>
  </si>
  <si>
    <t>Ujjawal</t>
  </si>
  <si>
    <t>Pranav</t>
  </si>
  <si>
    <t>Gourab</t>
  </si>
  <si>
    <t>Govind</t>
  </si>
  <si>
    <t>Shivam</t>
  </si>
  <si>
    <t xml:space="preserve">                              --  Concat New Way To JOIN Texts !</t>
  </si>
  <si>
    <t xml:space="preserve">              CONCAT( )                </t>
  </si>
  <si>
    <t xml:space="preserve">              TextJOIN( )</t>
  </si>
  <si>
    <t>Student ID</t>
  </si>
  <si>
    <t>Course</t>
  </si>
  <si>
    <t>Skill 1</t>
  </si>
  <si>
    <t>Skill 2</t>
  </si>
  <si>
    <t>Skill 3</t>
  </si>
  <si>
    <t>Excel</t>
  </si>
  <si>
    <t>SQL</t>
  </si>
  <si>
    <t>Python</t>
  </si>
  <si>
    <t>Pandas</t>
  </si>
  <si>
    <t>NumPy</t>
  </si>
  <si>
    <t>Tableau</t>
  </si>
  <si>
    <t>DAX</t>
  </si>
  <si>
    <t>Student Profile</t>
  </si>
  <si>
    <t>201 | Amit Kumar | Excel</t>
  </si>
  <si>
    <t>All Skills</t>
  </si>
  <si>
    <t>Excel, SQL, Power BI</t>
  </si>
  <si>
    <t>Complete Student Information</t>
  </si>
  <si>
    <t>Amit Kumar | Excel | Ranchi | Excel, SQL, Power BI</t>
  </si>
  <si>
    <t>Slash-separated Skills</t>
  </si>
  <si>
    <t>Excel / SQL / Power BI</t>
  </si>
  <si>
    <t>Skill 4</t>
  </si>
  <si>
    <t>Frontend</t>
  </si>
  <si>
    <t>Python, Pandas, NumPy</t>
  </si>
  <si>
    <t>With some Blank Cells</t>
  </si>
  <si>
    <t>Student Summary</t>
  </si>
  <si>
    <t>Student ID: 201 | Name: Amit Kumar | Course: Excel | City: Ranchi | Skills: Excel, SQL, Power BI</t>
  </si>
  <si>
    <t>Blank Cells</t>
  </si>
  <si>
    <t>Numbers</t>
  </si>
  <si>
    <t xml:space="preserve">+91 </t>
  </si>
  <si>
    <t xml:space="preserve">+1 </t>
  </si>
  <si>
    <t xml:space="preserve">+13 </t>
  </si>
  <si>
    <t xml:space="preserve">+2 </t>
  </si>
  <si>
    <t xml:space="preserve">+14 </t>
  </si>
  <si>
    <t xml:space="preserve">+12 </t>
  </si>
  <si>
    <t xml:space="preserve">+15 </t>
  </si>
  <si>
    <t xml:space="preserve">+17 </t>
  </si>
  <si>
    <t>Phone No.</t>
  </si>
  <si>
    <t>Customer ID</t>
  </si>
  <si>
    <t>Customer Name</t>
  </si>
  <si>
    <t>Email</t>
  </si>
  <si>
    <t>Phone</t>
  </si>
  <si>
    <t>amit@gmail.com</t>
  </si>
  <si>
    <t>9876-543-210</t>
  </si>
  <si>
    <t>Rahul Singh</t>
  </si>
  <si>
    <t>rahul@gmail.com</t>
  </si>
  <si>
    <t>9876-111-222</t>
  </si>
  <si>
    <t>Mobile</t>
  </si>
  <si>
    <t>Priya Sharma</t>
  </si>
  <si>
    <t>priya@gmail.com</t>
  </si>
  <si>
    <t>9876-333-444</t>
  </si>
  <si>
    <t>Tablet</t>
  </si>
  <si>
    <t>Kunal Verma</t>
  </si>
  <si>
    <t>kunal@gmail.com</t>
  </si>
  <si>
    <t>9876-555-666</t>
  </si>
  <si>
    <t>Sneha Gupta</t>
  </si>
  <si>
    <t>sneha@gmail.com</t>
  </si>
  <si>
    <t>9876-777-888</t>
  </si>
  <si>
    <t>Ravi Das</t>
  </si>
  <si>
    <t>ravi@gmail.com</t>
  </si>
  <si>
    <t>9876-999-000</t>
  </si>
  <si>
    <t>Neha Roy</t>
  </si>
  <si>
    <t>neha@gmail.com</t>
  </si>
  <si>
    <t>9876-123-456</t>
  </si>
  <si>
    <t>Arjun Mehta</t>
  </si>
  <si>
    <t>arjun@gmail.com</t>
  </si>
  <si>
    <t>9876-456-789</t>
  </si>
  <si>
    <t>Email Domain Change</t>
  </si>
  <si>
    <t>amit@company.com</t>
  </si>
  <si>
    <t>Product Name Change</t>
  </si>
  <si>
    <t>Laptop → Computer</t>
  </si>
  <si>
    <t>City Name Change</t>
  </si>
  <si>
    <t>Phone Number Formatting</t>
  </si>
  <si>
    <t>Email Dot Replace</t>
  </si>
  <si>
    <t>amit@gmail_com</t>
  </si>
  <si>
    <t>Multiple Replacement</t>
  </si>
  <si>
    <t>Amit-Kumar</t>
  </si>
  <si>
    <r>
      <t>instance_num</t>
    </r>
    <r>
      <rPr>
        <b/>
        <sz val="11"/>
        <color theme="1"/>
        <rFont val="Aptos Narrow"/>
        <family val="2"/>
        <scheme val="minor"/>
      </rPr>
      <t xml:space="preserve"> Challenge</t>
    </r>
  </si>
  <si>
    <t>Subjects</t>
  </si>
  <si>
    <t>Excel, SQL, Excel, Power BI, Excel</t>
  </si>
  <si>
    <t>Python, SQL, Excel, Power BI, Excel</t>
  </si>
  <si>
    <t>Amit Kumar - Ranchi - Sales</t>
  </si>
  <si>
    <t>Amit Kumar / Ranchi / Sales</t>
  </si>
  <si>
    <t>Name , City , Department</t>
  </si>
  <si>
    <t>EXTRA HARD 🔥🔥</t>
  </si>
  <si>
    <t>Date in "dd-mm-yyyy"</t>
  </si>
  <si>
    <t>Date in "dd/mm/yyyy"</t>
  </si>
  <si>
    <t xml:space="preserve">                        REPLACE( )</t>
  </si>
  <si>
    <t>Employee Name</t>
  </si>
  <si>
    <t>Employee Code</t>
  </si>
  <si>
    <t>EMP-101</t>
  </si>
  <si>
    <t>EMP-102</t>
  </si>
  <si>
    <t>EMP-103</t>
  </si>
  <si>
    <t>EMP-104</t>
  </si>
  <si>
    <t>EMP-105</t>
  </si>
  <si>
    <t>EMP-106</t>
  </si>
  <si>
    <t>EMP-501</t>
  </si>
  <si>
    <t>Employee Code Change</t>
  </si>
  <si>
    <t>First 4 characters</t>
  </si>
  <si>
    <t xml:space="preserve">EmpName ka first name </t>
  </si>
  <si>
    <t>EMP-102  ko EMP-502</t>
  </si>
  <si>
    <r>
      <t>Finance</t>
    </r>
    <r>
      <rPr>
        <b/>
        <sz val="11"/>
        <color theme="1"/>
        <rFont val="Aptos Narrow"/>
        <family val="2"/>
        <scheme val="minor"/>
      </rPr>
      <t xml:space="preserve"> ko HRnance</t>
    </r>
  </si>
  <si>
    <r>
      <t xml:space="preserve">Last </t>
    </r>
    <r>
      <rPr>
        <b/>
        <sz val="11"/>
        <color theme="1"/>
        <rFont val="Aptos Narrow"/>
        <family val="2"/>
        <scheme val="minor"/>
      </rPr>
      <t>6 characters</t>
    </r>
    <r>
      <rPr>
        <sz val="11"/>
        <color theme="1"/>
        <rFont val="Aptos Narrow"/>
        <family val="2"/>
        <scheme val="minor"/>
      </rPr>
      <t xml:space="preserve"> ko </t>
    </r>
    <r>
      <rPr>
        <sz val="10"/>
        <color theme="1"/>
        <rFont val="Arial Unicode MS"/>
      </rPr>
      <t>XXXXXX</t>
    </r>
  </si>
  <si>
    <t>Priya Sharma ko Anita Sharma</t>
  </si>
  <si>
    <t>EMP-105 ko STU-205</t>
  </si>
  <si>
    <t>Total = Price × Quantity</t>
  </si>
  <si>
    <t>Q1. Basic Excel + Relative Reference</t>
  </si>
  <si>
    <r>
      <t xml:space="preserve">Q2. Absolute Reference </t>
    </r>
    <r>
      <rPr>
        <sz val="10"/>
        <color theme="1"/>
        <rFont val="Arial Unicode MS"/>
      </rPr>
      <t>$</t>
    </r>
  </si>
  <si>
    <t>GST Rate</t>
  </si>
  <si>
    <t xml:space="preserve"> Price × GST Rate</t>
  </si>
  <si>
    <t>Q3. Number Formatting</t>
  </si>
  <si>
    <t>Convert This</t>
  </si>
  <si>
    <t>Into This</t>
  </si>
  <si>
    <t>Q4. Currency Formatting ₹</t>
  </si>
  <si>
    <t>A2:A5:</t>
  </si>
  <si>
    <t>Currency  ₹</t>
  </si>
  <si>
    <t>Q5. SUM()</t>
  </si>
  <si>
    <t>Employee</t>
  </si>
  <si>
    <t>Total salary</t>
  </si>
  <si>
    <t>Q6. AVERAGE()</t>
  </si>
  <si>
    <t>Average salary</t>
  </si>
  <si>
    <t>Q7. IF()</t>
  </si>
  <si>
    <t>Q8. COUNT()</t>
  </si>
  <si>
    <t>Total Age Value</t>
  </si>
  <si>
    <t>Q9. VLOOKUP()</t>
  </si>
  <si>
    <t>EmpID</t>
  </si>
  <si>
    <t>Q10. VLOOKUP + Salary</t>
  </si>
  <si>
    <t>Q11. HLOOKUP()</t>
  </si>
  <si>
    <t>Jan</t>
  </si>
  <si>
    <t>Feb</t>
  </si>
  <si>
    <t>Mar</t>
  </si>
  <si>
    <t>Apr</t>
  </si>
  <si>
    <t>Profit</t>
  </si>
  <si>
    <t>Months</t>
  </si>
  <si>
    <t>Q12. XLOOKUP()</t>
  </si>
  <si>
    <t>P101</t>
  </si>
  <si>
    <t>P102</t>
  </si>
  <si>
    <t>P103</t>
  </si>
  <si>
    <t>P104</t>
  </si>
  <si>
    <t>P999</t>
  </si>
  <si>
    <t>Q13. XLOOKUP + Not Found</t>
  </si>
  <si>
    <t>Q14. MATCH()</t>
  </si>
  <si>
    <r>
      <t>"Priya"</t>
    </r>
    <r>
      <rPr>
        <b/>
        <i/>
        <sz val="11"/>
        <color theme="1"/>
        <rFont val="Aptos Narrow"/>
        <family val="2"/>
        <scheme val="minor"/>
      </rPr>
      <t xml:space="preserve"> ki position</t>
    </r>
  </si>
  <si>
    <t>Q15. INDEX()</t>
  </si>
  <si>
    <t>3rd employee ki salary</t>
  </si>
  <si>
    <t>Q16. INDEX + MATCH</t>
  </si>
  <si>
    <t>Q17. XLOOKUP – Match Mode</t>
  </si>
  <si>
    <t>Score</t>
  </si>
  <si>
    <t>F</t>
  </si>
  <si>
    <t>C</t>
  </si>
  <si>
    <t>Student score = 68</t>
  </si>
  <si>
    <t xml:space="preserve">Student Grade </t>
  </si>
  <si>
    <t>Q18. XLOOKUP – Search Mode</t>
  </si>
  <si>
    <t>Joining Date</t>
  </si>
  <si>
    <t>Amit ki last/latest entry</t>
  </si>
  <si>
    <t>last/latest entry</t>
  </si>
  <si>
    <t>Q19. Relative + Absolute + IF</t>
  </si>
  <si>
    <t>Target</t>
  </si>
  <si>
    <t>E1 = 10%</t>
  </si>
  <si>
    <t>Q20. VLOOKUP + IF</t>
  </si>
  <si>
    <t>Q21. INDEX + MATCH</t>
  </si>
  <si>
    <t>Category</t>
  </si>
  <si>
    <t>Electronics</t>
  </si>
  <si>
    <t>Accessories</t>
  </si>
  <si>
    <t>P105</t>
  </si>
  <si>
    <t>Printer</t>
  </si>
  <si>
    <t xml:space="preserve">Product ID </t>
  </si>
  <si>
    <t>Q22. XLOOKUP + Match Mode</t>
  </si>
  <si>
    <t>Minimum Sales</t>
  </si>
  <si>
    <t>Commission</t>
  </si>
  <si>
    <t>Employee Sales</t>
  </si>
  <si>
    <t>Q23. XLOOKUP + Search Mode</t>
  </si>
  <si>
    <t>Order ID</t>
  </si>
  <si>
    <t>Customer</t>
  </si>
  <si>
    <t>Status</t>
  </si>
  <si>
    <t>Pending</t>
  </si>
  <si>
    <t>Delivered</t>
  </si>
  <si>
    <t>Shipped</t>
  </si>
  <si>
    <t>latest status</t>
  </si>
  <si>
    <t>Q24. VLOOKUP vs XLOOKUP</t>
  </si>
  <si>
    <t xml:space="preserve">EmpID </t>
  </si>
  <si>
    <t>VLOOKUP formula</t>
  </si>
  <si>
    <t>XLOOKUP formula</t>
  </si>
  <si>
    <t xml:space="preserve">                                                                                                                                                                 Ans- Column no. yaad nahi karna padta hai , and XLOOKUP left and right dono tarf lookup kar sakta hai .</t>
  </si>
  <si>
    <t>Q25. INDEX + MATCH vs XLOOKUP</t>
  </si>
  <si>
    <t>Same Employee table.</t>
  </si>
  <si>
    <t>INDEX + MATCH se</t>
  </si>
  <si>
    <t>XLOOKUP se</t>
  </si>
  <si>
    <t xml:space="preserve">                            Excel Practice Questions : </t>
  </si>
  <si>
    <t xml:space="preserve">                            SUBSTITUTE( )</t>
  </si>
  <si>
    <t>Q26. Interview — VLOOKUP Problem</t>
  </si>
  <si>
    <t>Vlookup Ki limitation</t>
  </si>
  <si>
    <t xml:space="preserve">                                                         Ans-  Vlookup left lookup nahi kar sakta .</t>
  </si>
  <si>
    <t>Q27. Interview — XLOOKUP Match Mode</t>
  </si>
  <si>
    <t>Minimum Salary</t>
  </si>
  <si>
    <t>Level</t>
  </si>
  <si>
    <t>Low</t>
  </si>
  <si>
    <t>Medium</t>
  </si>
  <si>
    <t>High</t>
  </si>
  <si>
    <t>Very High</t>
  </si>
  <si>
    <t>Employee Salary</t>
  </si>
  <si>
    <t>Q28. Interview — Latest Record</t>
  </si>
  <si>
    <t>Purchase Date</t>
  </si>
  <si>
    <t>latest purchase amount</t>
  </si>
  <si>
    <t>Q29. Interview — Mixed Lookup</t>
  </si>
  <si>
    <t>Q30. 🔥 Final Challenge — Data Analyst Type</t>
  </si>
  <si>
    <t>Sales &gt;= Target → "Target Achieved"</t>
  </si>
  <si>
    <t>Sales &lt; Target → "Target Not Achieved"</t>
  </si>
  <si>
    <t>IF</t>
  </si>
  <si>
    <t>Target Achieved → Sales ka 10%</t>
  </si>
  <si>
    <t>Target Not Achieved → 0</t>
  </si>
  <si>
    <t>Bonus</t>
  </si>
  <si>
    <r>
      <t>G2:</t>
    </r>
    <r>
      <rPr>
        <sz val="11"/>
        <color theme="1"/>
        <rFont val="Aptos Narrow"/>
        <family val="2"/>
        <scheme val="minor"/>
      </rPr>
      <t xml:space="preserve"> Bonus calculate karo:</t>
    </r>
  </si>
  <si>
    <r>
      <rPr>
        <b/>
        <sz val="11"/>
        <color theme="1"/>
        <rFont val="Aptos Narrow"/>
        <family val="2"/>
        <scheme val="minor"/>
      </rPr>
      <t>E2</t>
    </r>
    <r>
      <rPr>
        <sz val="11"/>
        <color theme="1"/>
        <rFont val="Aptos Narrow"/>
        <family val="2"/>
        <scheme val="minor"/>
      </rPr>
      <t>: XLOOKUP se employee ke department ka Target nikalo.</t>
    </r>
  </si>
  <si>
    <t>About Target</t>
  </si>
  <si>
    <t>Indian grouping ke liye Excel custom format:</t>
  </si>
  <si>
    <t>#,##,##0</t>
  </si>
  <si>
    <t>March ka Sales = 75,000</t>
  </si>
  <si>
    <t>&gt;&gt;  Excel Revision + Practice Test — 25 Questions</t>
  </si>
  <si>
    <t>Q1. Relative Reference + SUM</t>
  </si>
  <si>
    <t>Jan Sales</t>
  </si>
  <si>
    <t>Feb Sales</t>
  </si>
  <si>
    <t>Mar Sales</t>
  </si>
  <si>
    <t>Total Sales</t>
  </si>
  <si>
    <t>Q2. Absolute Reference + IF</t>
  </si>
  <si>
    <t>Target =</t>
  </si>
  <si>
    <r>
      <t xml:space="preserve">Sales &gt;= Target → </t>
    </r>
    <r>
      <rPr>
        <sz val="10"/>
        <color theme="1"/>
        <rFont val="Arial Unicode MS"/>
      </rPr>
      <t>"Target Achieved"</t>
    </r>
  </si>
  <si>
    <r>
      <t xml:space="preserve">Sales &lt; Target → </t>
    </r>
    <r>
      <rPr>
        <sz val="10"/>
        <color theme="1"/>
        <rFont val="Arial Unicode MS"/>
      </rPr>
      <t>"Target Not Achieved"</t>
    </r>
  </si>
  <si>
    <r>
      <t xml:space="preserve">Target cell ko </t>
    </r>
    <r>
      <rPr>
        <b/>
        <sz val="11"/>
        <color theme="1"/>
        <rFont val="Aptos Narrow"/>
        <family val="2"/>
        <scheme val="minor"/>
      </rPr>
      <t>absolute reference</t>
    </r>
    <r>
      <rPr>
        <sz val="11"/>
        <color theme="1"/>
        <rFont val="Aptos Narrow"/>
        <family val="2"/>
        <scheme val="minor"/>
      </rPr>
      <t xml:space="preserve"> banana hai.</t>
    </r>
  </si>
  <si>
    <t>Q3. SUM + AVERAGE</t>
  </si>
  <si>
    <t>Total Salary nikalo.</t>
  </si>
  <si>
    <t>Average Salary nikalo.</t>
  </si>
  <si>
    <t>Total Salary</t>
  </si>
  <si>
    <t>Average Salary</t>
  </si>
  <si>
    <t>Q4. COUNT</t>
  </si>
  <si>
    <r>
      <t xml:space="preserve">Age column mein kitni </t>
    </r>
    <r>
      <rPr>
        <b/>
        <sz val="11"/>
        <color theme="1"/>
        <rFont val="Aptos Narrow"/>
        <family val="2"/>
        <scheme val="minor"/>
      </rPr>
      <t>numeric entries</t>
    </r>
    <r>
      <rPr>
        <sz val="11"/>
        <color theme="1"/>
        <rFont val="Aptos Narrow"/>
        <family val="2"/>
        <scheme val="minor"/>
      </rPr>
      <t xml:space="preserve"> hain?</t>
    </r>
  </si>
  <si>
    <t xml:space="preserve">No. of Entries </t>
  </si>
  <si>
    <t>Q5. Number + Currency Formatting</t>
  </si>
  <si>
    <r>
      <t>12,500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50,000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2,50,000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15,00,000</t>
    </r>
  </si>
  <si>
    <t>2.  Values ko ₹ currency format mein display karo.</t>
  </si>
  <si>
    <t>1.  Indian number format mein display karo:</t>
  </si>
  <si>
    <t>No.</t>
  </si>
  <si>
    <t>Q6. VLOOKUP</t>
  </si>
  <si>
    <r>
      <t xml:space="preserve">VLOOKUP से Kunal ka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निकालो.</t>
    </r>
  </si>
  <si>
    <t>Vlookup</t>
  </si>
  <si>
    <t>Q7. HLOOKUP</t>
  </si>
  <si>
    <t>Month</t>
  </si>
  <si>
    <r>
      <t xml:space="preserve">HLOOKUP से </t>
    </r>
    <r>
      <rPr>
        <b/>
        <sz val="11"/>
        <color theme="1"/>
        <rFont val="Aptos Narrow"/>
        <family val="2"/>
        <scheme val="minor"/>
      </rPr>
      <t>March Sales</t>
    </r>
    <r>
      <rPr>
        <sz val="11"/>
        <color theme="1"/>
        <rFont val="Aptos Narrow"/>
        <family val="2"/>
        <scheme val="minor"/>
      </rPr>
      <t xml:space="preserve"> निकालो.</t>
    </r>
  </si>
  <si>
    <t>Q8. XLOOKUP + Not Found</t>
  </si>
  <si>
    <t>XLOOKUP लगाओ.</t>
  </si>
  <si>
    <t>Product न मिले तो:</t>
  </si>
  <si>
    <t>Product Not Found</t>
  </si>
  <si>
    <t>दिखना चाहिए.</t>
  </si>
  <si>
    <t>Q9. MATCH + INDEX</t>
  </si>
  <si>
    <r>
      <t xml:space="preserve">1. MATCH से </t>
    </r>
    <r>
      <rPr>
        <sz val="10"/>
        <color theme="1"/>
        <rFont val="Arial Unicode MS"/>
      </rPr>
      <t>"Keyboard"</t>
    </r>
    <r>
      <rPr>
        <sz val="11"/>
        <color theme="1"/>
        <rFont val="Aptos Narrow"/>
        <family val="2"/>
        <scheme val="minor"/>
      </rPr>
      <t xml:space="preserve"> की position निकालो.</t>
    </r>
  </si>
  <si>
    <r>
      <t xml:space="preserve">2. INDEX से </t>
    </r>
    <r>
      <rPr>
        <b/>
        <sz val="11"/>
        <color theme="1"/>
        <rFont val="Aptos Narrow"/>
        <family val="2"/>
        <scheme val="minor"/>
      </rPr>
      <t>Keyboard की Price</t>
    </r>
    <r>
      <rPr>
        <sz val="11"/>
        <color theme="1"/>
        <rFont val="Aptos Narrow"/>
        <family val="2"/>
        <scheme val="minor"/>
      </rPr>
      <t xml:space="preserve"> निकालो.</t>
    </r>
  </si>
  <si>
    <t>MATCH</t>
  </si>
  <si>
    <t>INDEX</t>
  </si>
  <si>
    <t>Q10. INDEX + MATCH</t>
  </si>
  <si>
    <r>
      <t xml:space="preserve">INDEX + MATCH से Sneha की </t>
    </r>
    <r>
      <rPr>
        <b/>
        <sz val="11"/>
        <color theme="1"/>
        <rFont val="Aptos Narrow"/>
        <family val="2"/>
        <scheme val="minor"/>
      </rPr>
      <t>Salary</t>
    </r>
    <r>
      <rPr>
        <sz val="11"/>
        <color theme="1"/>
        <rFont val="Aptos Narrow"/>
        <family val="2"/>
        <scheme val="minor"/>
      </rPr>
      <t xml:space="preserve"> निकालो.</t>
    </r>
  </si>
  <si>
    <t>INDEX + MATCH</t>
  </si>
  <si>
    <t>Q23. Employee Performance</t>
  </si>
  <si>
    <t>Target Table:</t>
  </si>
  <si>
    <r>
      <t xml:space="preserve">Target column mein </t>
    </r>
    <r>
      <rPr>
        <b/>
        <sz val="11"/>
        <color theme="1"/>
        <rFont val="Aptos Narrow"/>
        <family val="2"/>
        <scheme val="minor"/>
      </rPr>
      <t>XLOOKUP</t>
    </r>
    <r>
      <rPr>
        <sz val="11"/>
        <color theme="1"/>
        <rFont val="Aptos Narrow"/>
        <family val="2"/>
        <scheme val="minor"/>
      </rPr>
      <t xml:space="preserve"> se department ka Target lao.</t>
    </r>
  </si>
  <si>
    <t>Phir Status column mein:</t>
  </si>
  <si>
    <t>Sales &gt;= Target → Target Achieved</t>
  </si>
  <si>
    <t>Sales &lt; Target → Target Not Achieved</t>
  </si>
  <si>
    <t>Q24. Bonus Calculation</t>
  </si>
  <si>
    <r>
      <t>Task:</t>
    </r>
    <r>
      <rPr>
        <sz val="11"/>
        <color theme="1"/>
        <rFont val="Aptos Narrow"/>
        <family val="2"/>
        <scheme val="minor"/>
      </rPr>
      <t xml:space="preserve"> Bonus column banao:</t>
    </r>
  </si>
  <si>
    <t>Example:</t>
  </si>
  <si>
    <t>Amit:</t>
  </si>
  <si>
    <t>Sales = 85000</t>
  </si>
  <si>
    <t>Target = 80000</t>
  </si>
  <si>
    <t>To Bonus:</t>
  </si>
  <si>
    <t>Q25. 🔥 Final Data Analyst Challenge</t>
  </si>
  <si>
    <t>Pooja</t>
  </si>
  <si>
    <t>Mohit</t>
  </si>
  <si>
    <t>Simran</t>
  </si>
  <si>
    <t>Target:</t>
  </si>
  <si>
    <t>Column E — Target</t>
  </si>
  <si>
    <t>XLOOKUP se Department ka target lao.</t>
  </si>
  <si>
    <t>Column F — Status</t>
  </si>
  <si>
    <t>IF se:</t>
  </si>
  <si>
    <t>Sales &gt;= Target → "Achieved"</t>
  </si>
  <si>
    <t>Sales &lt; Target → "Not Achieved"</t>
  </si>
  <si>
    <t>Column G — Bonus</t>
  </si>
  <si>
    <t>Achieved → Sales ka 10%</t>
  </si>
  <si>
    <t>Not Achieved → 0</t>
  </si>
  <si>
    <t>Column H — Performance</t>
  </si>
  <si>
    <t>Bonus &gt; 0 → "Eligible"</t>
  </si>
  <si>
    <t>Bonus = 0 → "Not Eligible"</t>
  </si>
  <si>
    <t>Performance</t>
  </si>
  <si>
    <r>
      <t xml:space="preserve">E2 mein </t>
    </r>
    <r>
      <rPr>
        <b/>
        <sz val="11"/>
        <color theme="1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 xml:space="preserve"> nikalo:</t>
    </r>
  </si>
  <si>
    <t>Jan + Feb + Mar</t>
  </si>
  <si>
    <t>📊</t>
  </si>
  <si>
    <t>TABLE 1 — Employee Sales Data</t>
  </si>
  <si>
    <t>E101</t>
  </si>
  <si>
    <t>E102</t>
  </si>
  <si>
    <t>E103</t>
  </si>
  <si>
    <t>E104</t>
  </si>
  <si>
    <t>E105</t>
  </si>
  <si>
    <t>E106</t>
  </si>
  <si>
    <t>E107</t>
  </si>
  <si>
    <t>E108</t>
  </si>
  <si>
    <t>Q1 — Practice</t>
  </si>
  <si>
    <r>
      <t>Topics: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SUM + AVERAGE + Relative Reference + Number Formatting</t>
    </r>
  </si>
  <si>
    <r>
      <t xml:space="preserve">Employee Sales Data mein ek </t>
    </r>
    <r>
      <rPr>
        <b/>
        <sz val="11"/>
        <color theme="1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 xml:space="preserve"> column banao.</t>
    </r>
  </si>
  <si>
    <t>Jan + Feb + Mar ka total calculate karo.</t>
  </si>
  <si>
    <t>Formula ko neeche drag karo.</t>
  </si>
  <si>
    <t>Total Sales ko Indian number format mein display karo.</t>
  </si>
  <si>
    <r>
      <t>AVERAGE</t>
    </r>
    <r>
      <rPr>
        <sz val="11"/>
        <color theme="1"/>
        <rFont val="Aptos Narrow"/>
        <family val="2"/>
        <scheme val="minor"/>
      </rPr>
      <t xml:space="preserve"> se </t>
    </r>
    <r>
      <rPr>
        <b/>
        <sz val="11"/>
        <color theme="1"/>
        <rFont val="Aptos Narrow"/>
        <family val="2"/>
        <scheme val="minor"/>
      </rPr>
      <t>all employees ki average Total Sales</t>
    </r>
    <r>
      <rPr>
        <sz val="11"/>
        <color theme="1"/>
        <rFont val="Aptos Narrow"/>
        <family val="2"/>
        <scheme val="minor"/>
      </rPr>
      <t xml:space="preserve"> nikalo.</t>
    </r>
  </si>
  <si>
    <t>Average Total Sales</t>
  </si>
  <si>
    <t>Q2 — Output Prediction</t>
  </si>
  <si>
    <r>
      <t>Topics: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IF + Absolute Reference + Relative Reference</t>
    </r>
  </si>
  <si>
    <r>
      <t xml:space="preserve">Cell </t>
    </r>
    <r>
      <rPr>
        <sz val="10"/>
        <color theme="1"/>
        <rFont val="Arial Unicode MS"/>
      </rPr>
      <t>J1</t>
    </r>
    <r>
      <rPr>
        <sz val="11"/>
        <color theme="1"/>
        <rFont val="Aptos Narrow"/>
        <family val="2"/>
        <scheme val="minor"/>
      </rPr>
      <t xml:space="preserve"> mein value </t>
    </r>
    <r>
      <rPr>
        <b/>
        <sz val="11"/>
        <color theme="1"/>
        <rFont val="Aptos Narrow"/>
        <family val="2"/>
        <scheme val="minor"/>
      </rPr>
      <t>200000</t>
    </r>
    <r>
      <rPr>
        <sz val="11"/>
        <color theme="1"/>
        <rFont val="Aptos Narrow"/>
        <family val="2"/>
        <scheme val="minor"/>
      </rPr>
      <t xml:space="preserve"> hai.</t>
    </r>
  </si>
  <si>
    <t>Formula:</t>
  </si>
  <si>
    <t>Q1: Amit ka output kya hoga?</t>
  </si>
  <si>
    <t>Q2: Priya ka output kya hoga?</t>
  </si>
  <si>
    <r>
      <t xml:space="preserve">Q3: Formula ko row 8 tak drag karne par </t>
    </r>
    <r>
      <rPr>
        <sz val="10"/>
        <color theme="1"/>
        <rFont val="Arial Unicode MS"/>
      </rPr>
      <t>$J$1</t>
    </r>
    <r>
      <rPr>
        <sz val="11"/>
        <color theme="1"/>
        <rFont val="Aptos Narrow"/>
        <family val="2"/>
        <scheme val="minor"/>
      </rPr>
      <t xml:space="preserve"> mein kya change hoga?</t>
    </r>
  </si>
  <si>
    <t>IF(SUM(D2:F2)&gt;=$J$1,"Target Level","Below Target")</t>
  </si>
  <si>
    <t>Ans:-</t>
  </si>
  <si>
    <t>Q1</t>
  </si>
  <si>
    <t>Q2</t>
  </si>
  <si>
    <t>Q3</t>
  </si>
  <si>
    <t>Nothing</t>
  </si>
  <si>
    <t>Q3 — Exam</t>
  </si>
  <si>
    <r>
      <t>Topics: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COUNT + SUM + AVERAGE + Number Formatting</t>
    </r>
  </si>
  <si>
    <t>Jan Sales column ke liye:</t>
  </si>
  <si>
    <t>1. Numeric values ki count nikalo.</t>
  </si>
  <si>
    <t>2. Total Jan Sales nikalo.</t>
  </si>
  <si>
    <t>3. Average Jan Sales nikalo.</t>
  </si>
  <si>
    <t>4. Average ko ₹ format mein 2 decimal places ke saath display karo.</t>
  </si>
  <si>
    <t>COUNT</t>
  </si>
  <si>
    <t>SUM</t>
  </si>
  <si>
    <t>AVERAGE</t>
  </si>
  <si>
    <t>No. Formate</t>
  </si>
  <si>
    <r>
      <t>Topics: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SUM + Absolute Reference + IF</t>
    </r>
  </si>
  <si>
    <t>Kisi analyst ne formula likha:</t>
  </si>
  <si>
    <t>Q4 — Error Finding</t>
  </si>
  <si>
    <t>IF(SUM(D2:F2)&gt;=J1,"Achieved","Not Achieved")</t>
  </si>
  <si>
    <t>Aur J1 mein target value hai.</t>
  </si>
  <si>
    <t>Formula ko neeche drag karne par result galat aa raha hai.</t>
  </si>
  <si>
    <r>
      <t>Question:</t>
    </r>
    <r>
      <rPr>
        <sz val="11"/>
        <color theme="1"/>
        <rFont val="Aptos Narrow"/>
        <family val="2"/>
        <scheme val="minor"/>
      </rPr>
      <t xml:space="preserve"> Formula mein exact problem kya hai aur corrected formula kya hoga?</t>
    </r>
  </si>
  <si>
    <t>Ans-</t>
  </si>
  <si>
    <t>Correct Formula-</t>
  </si>
  <si>
    <t>IF(SUM(D2:F2)&gt;=$J$1,"Achieved","Not Achieved")</t>
  </si>
  <si>
    <t>Q5 — Interview</t>
  </si>
  <si>
    <r>
      <t>Topics: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Relative Reference + Absolute Reference + IF</t>
    </r>
  </si>
  <si>
    <t>Interview mein poocha gaya:</t>
  </si>
  <si>
    <t>Agar ek formula ko 100 rows tak drag karna ho aur target value ek fixed cell mein ho, to formula mein relative aur absolute reference ka combination kyun use karoge?</t>
  </si>
  <si>
    <t>Example ke saath explain karo.</t>
  </si>
  <si>
    <t xml:space="preserve">The Problem, $ symbol did not used for locking/fixing the cell (J1) . </t>
  </si>
  <si>
    <t>let's take simple example:</t>
  </si>
  <si>
    <t>Assume here the $J$1 is fixed cell in which the target value is stored ,So we got an advantage that here SUM(D2:M2)  or relative reference gonna chaned &amp; $J$1 or absolute reference will be fixed, when we use this commbination we can drag and the fixed cell will not change that we need and get the values correctly .</t>
  </si>
  <si>
    <t>Monthly Target</t>
  </si>
  <si>
    <t>Q6 — Practice</t>
  </si>
  <si>
    <r>
      <t>Topics: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XLOOKUP + IF + Absolute Reference + SUM</t>
    </r>
  </si>
  <si>
    <t>Table 1 mein har employee ke liye:</t>
  </si>
  <si>
    <r>
      <t xml:space="preserve">Department ke basis par </t>
    </r>
    <r>
      <rPr>
        <b/>
        <sz val="11"/>
        <color theme="1"/>
        <rFont val="Aptos Narrow"/>
        <family val="2"/>
        <scheme val="minor"/>
      </rPr>
      <t>Monthly Target</t>
    </r>
    <r>
      <rPr>
        <sz val="11"/>
        <color theme="1"/>
        <rFont val="Aptos Narrow"/>
        <family val="2"/>
        <scheme val="minor"/>
      </rPr>
      <t xml:space="preserve"> nikalo.</t>
    </r>
  </si>
  <si>
    <t>Total Sales calculate karo.</t>
  </si>
  <si>
    <r>
      <t xml:space="preserve">Total Sales &gt;= Monthly Target ho to </t>
    </r>
    <r>
      <rPr>
        <sz val="10"/>
        <color theme="1"/>
        <rFont val="Arial Unicode MS"/>
      </rPr>
      <t>"Achieved"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"Not Achieved"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</si>
</sst>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###,##0"/>
    <numFmt numFmtId="166" formatCode="&quot;₹&quot;\ #,##0"/>
    <numFmt numFmtId="167" formatCode="&quot;₹&quot;\ #,##0.00;[Red]&quot;₹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i/>
      <sz val="10"/>
      <color theme="1"/>
      <name val="Arial Unicode MS"/>
    </font>
    <font>
      <b/>
      <i/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A16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1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6" borderId="1" xfId="0" applyFont="1" applyFill="1" applyBorder="1"/>
    <xf numFmtId="0" fontId="2" fillId="17" borderId="1" xfId="0" applyFont="1" applyFill="1" applyBorder="1"/>
    <xf numFmtId="0" fontId="2" fillId="5" borderId="1" xfId="0" applyFont="1" applyFill="1" applyBorder="1"/>
    <xf numFmtId="14" fontId="0" fillId="0" borderId="1" xfId="0" applyNumberFormat="1" applyBorder="1"/>
    <xf numFmtId="0" fontId="2" fillId="9" borderId="1" xfId="0" applyFont="1" applyFill="1" applyBorder="1"/>
    <xf numFmtId="0" fontId="2" fillId="18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7" borderId="1" xfId="0" applyFont="1" applyFill="1" applyBorder="1"/>
    <xf numFmtId="0" fontId="2" fillId="19" borderId="1" xfId="0" applyFont="1" applyFill="1" applyBorder="1"/>
    <xf numFmtId="49" fontId="0" fillId="0" borderId="1" xfId="0" applyNumberFormat="1" applyBorder="1"/>
    <xf numFmtId="0" fontId="2" fillId="0" borderId="0" xfId="0" applyFont="1" applyAlignment="1">
      <alignment horizontal="center"/>
    </xf>
    <xf numFmtId="0" fontId="2" fillId="8" borderId="1" xfId="0" applyFont="1" applyFill="1" applyBorder="1"/>
    <xf numFmtId="0" fontId="2" fillId="9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17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2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3" fillId="24" borderId="0" xfId="0" applyFont="1" applyFill="1"/>
    <xf numFmtId="0" fontId="0" fillId="24" borderId="0" xfId="0" applyFill="1"/>
    <xf numFmtId="0" fontId="2" fillId="25" borderId="0" xfId="0" applyFont="1" applyFill="1"/>
    <xf numFmtId="0" fontId="0" fillId="25" borderId="0" xfId="0" applyFill="1"/>
    <xf numFmtId="0" fontId="5" fillId="0" borderId="0" xfId="0" applyFont="1" applyAlignment="1">
      <alignment horizontal="center"/>
    </xf>
    <xf numFmtId="0" fontId="2" fillId="20" borderId="0" xfId="0" applyFont="1" applyFill="1"/>
    <xf numFmtId="0" fontId="2" fillId="2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7" borderId="1" xfId="0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6" fillId="0" borderId="1" xfId="2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0" fillId="0" borderId="0" xfId="0" quotePrefix="1"/>
    <xf numFmtId="0" fontId="0" fillId="0" borderId="3" xfId="0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1" fillId="5" borderId="1" xfId="0" applyFont="1" applyFill="1" applyBorder="1"/>
    <xf numFmtId="0" fontId="9" fillId="5" borderId="1" xfId="0" applyFont="1" applyFill="1" applyBorder="1"/>
    <xf numFmtId="0" fontId="5" fillId="0" borderId="0" xfId="0" applyFont="1"/>
    <xf numFmtId="14" fontId="5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20" borderId="0" xfId="0" applyFill="1"/>
    <xf numFmtId="15" fontId="5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16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9" fontId="5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0" fontId="9" fillId="9" borderId="0" xfId="0" applyFont="1" applyFill="1"/>
    <xf numFmtId="0" fontId="9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8" fillId="0" borderId="0" xfId="0" applyFont="1"/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26" borderId="0" xfId="0" applyFill="1" applyAlignment="1">
      <alignment horizontal="right"/>
    </xf>
    <xf numFmtId="0" fontId="2" fillId="26" borderId="0" xfId="0" applyFont="1" applyFill="1"/>
    <xf numFmtId="0" fontId="2" fillId="7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33"/>
      <color rgb="FFFFFF66"/>
      <color rgb="FF66FF99"/>
      <color rgb="FF9966FF"/>
      <color rgb="FF00FF99"/>
      <color rgb="FFFA1616"/>
      <color rgb="FFEE0000"/>
      <color rgb="FF99FF33"/>
      <color rgb="FF9933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rjun@gmail.com" TargetMode="External"/><Relationship Id="rId3" Type="http://schemas.openxmlformats.org/officeDocument/2006/relationships/hyperlink" Target="mailto:priya@gmail.com" TargetMode="External"/><Relationship Id="rId7" Type="http://schemas.openxmlformats.org/officeDocument/2006/relationships/hyperlink" Target="mailto:neha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ravi@gmail.com" TargetMode="External"/><Relationship Id="rId5" Type="http://schemas.openxmlformats.org/officeDocument/2006/relationships/hyperlink" Target="mailto:sneha@gmail.com" TargetMode="External"/><Relationship Id="rId4" Type="http://schemas.openxmlformats.org/officeDocument/2006/relationships/hyperlink" Target="mailto:kunal@gmail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6C04-3255-4E37-AB23-69A366051EE1}">
  <dimension ref="A1:J298"/>
  <sheetViews>
    <sheetView zoomScale="110" zoomScaleNormal="110" workbookViewId="0">
      <selection activeCell="E158" sqref="E158"/>
    </sheetView>
  </sheetViews>
  <sheetFormatPr defaultRowHeight="15"/>
  <cols>
    <col min="1" max="1" width="16.5703125" customWidth="1"/>
    <col min="2" max="2" width="15.5703125" customWidth="1"/>
    <col min="3" max="3" width="17.85546875" customWidth="1"/>
    <col min="4" max="4" width="20.85546875" customWidth="1"/>
    <col min="5" max="5" width="18.42578125" customWidth="1"/>
    <col min="6" max="6" width="14.140625" customWidth="1"/>
    <col min="7" max="7" width="12.425781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2">
        <v>22</v>
      </c>
      <c r="C2" s="2" t="s">
        <v>7</v>
      </c>
    </row>
    <row r="3" spans="1:4">
      <c r="A3" s="2" t="s">
        <v>4</v>
      </c>
      <c r="B3" s="2">
        <v>25</v>
      </c>
      <c r="C3" s="2" t="s">
        <v>8</v>
      </c>
    </row>
    <row r="4" spans="1:4">
      <c r="A4" s="2" t="s">
        <v>5</v>
      </c>
      <c r="B4" s="2">
        <v>24</v>
      </c>
      <c r="C4" s="2" t="s">
        <v>9</v>
      </c>
    </row>
    <row r="5" spans="1:4">
      <c r="A5" s="2" t="s">
        <v>6</v>
      </c>
      <c r="B5" s="2">
        <v>23</v>
      </c>
      <c r="C5" s="2" t="s">
        <v>10</v>
      </c>
    </row>
    <row r="8" spans="1:4">
      <c r="A8" s="4" t="s">
        <v>11</v>
      </c>
      <c r="B8" s="4" t="s">
        <v>12</v>
      </c>
      <c r="C8" s="4" t="s">
        <v>13</v>
      </c>
      <c r="D8" s="4" t="s">
        <v>14</v>
      </c>
    </row>
    <row r="9" spans="1:4">
      <c r="A9" s="2" t="s">
        <v>15</v>
      </c>
      <c r="B9" s="2">
        <v>55000</v>
      </c>
      <c r="C9" s="2">
        <v>2</v>
      </c>
      <c r="D9" s="2">
        <f>B9*C9</f>
        <v>110000</v>
      </c>
    </row>
    <row r="10" spans="1:4">
      <c r="A10" s="2" t="s">
        <v>16</v>
      </c>
      <c r="B10" s="2">
        <v>500</v>
      </c>
      <c r="C10" s="2">
        <v>5</v>
      </c>
      <c r="D10" s="2">
        <f t="shared" ref="D10:D11" si="0">B10*C10</f>
        <v>2500</v>
      </c>
    </row>
    <row r="11" spans="1:4">
      <c r="A11" s="2" t="s">
        <v>17</v>
      </c>
      <c r="B11" s="2">
        <v>1200</v>
      </c>
      <c r="C11" s="2">
        <v>3</v>
      </c>
      <c r="D11" s="2">
        <f t="shared" si="0"/>
        <v>3600</v>
      </c>
    </row>
    <row r="12" spans="1:4">
      <c r="D12">
        <f>SUM(D9:D11)</f>
        <v>116100</v>
      </c>
    </row>
    <row r="14" spans="1:4">
      <c r="A14" s="3" t="s">
        <v>18</v>
      </c>
      <c r="B14" s="3">
        <f>SUM(B9:B11)</f>
        <v>56700</v>
      </c>
    </row>
    <row r="15" spans="1:4">
      <c r="A15" s="3" t="s">
        <v>19</v>
      </c>
      <c r="B15" s="3">
        <f>AVERAGE(B9:B11)</f>
        <v>18900</v>
      </c>
    </row>
    <row r="16" spans="1:4">
      <c r="A16" s="3" t="s">
        <v>20</v>
      </c>
      <c r="B16" s="3">
        <f>MAX(B9:B11)</f>
        <v>55000</v>
      </c>
    </row>
    <row r="17" spans="1:4">
      <c r="A17" s="3" t="s">
        <v>21</v>
      </c>
      <c r="B17" s="3">
        <f>MIN(B9:B11)</f>
        <v>500</v>
      </c>
    </row>
    <row r="18" spans="1:4">
      <c r="A18" s="3" t="s">
        <v>22</v>
      </c>
      <c r="B18" s="3">
        <f>COUNT(B9:B11)</f>
        <v>3</v>
      </c>
    </row>
    <row r="20" spans="1:4">
      <c r="A20" s="5" t="s">
        <v>23</v>
      </c>
      <c r="B20" s="5" t="s">
        <v>24</v>
      </c>
      <c r="C20" s="5" t="s">
        <v>25</v>
      </c>
    </row>
    <row r="21" spans="1:4">
      <c r="A21" s="2" t="s">
        <v>3</v>
      </c>
      <c r="B21" s="2">
        <v>85</v>
      </c>
      <c r="C21" s="2" t="str">
        <f>IF(B21&gt;=40,"Pass","Fail")</f>
        <v>Pass</v>
      </c>
    </row>
    <row r="22" spans="1:4">
      <c r="A22" s="2" t="s">
        <v>4</v>
      </c>
      <c r="B22" s="2">
        <v>42</v>
      </c>
      <c r="C22" s="2" t="str">
        <f t="shared" ref="C22:C23" si="1">IF(B22&gt;=40,"Pass","Fail")</f>
        <v>Pass</v>
      </c>
    </row>
    <row r="23" spans="1:4">
      <c r="A23" s="2" t="s">
        <v>5</v>
      </c>
      <c r="B23" s="2">
        <v>76</v>
      </c>
      <c r="C23" s="2" t="str">
        <f t="shared" si="1"/>
        <v>Pass</v>
      </c>
    </row>
    <row r="24" spans="1:4">
      <c r="A24" s="2" t="s">
        <v>6</v>
      </c>
      <c r="B24" s="2">
        <v>33</v>
      </c>
      <c r="C24" s="2" t="str">
        <f>IF(B24&gt;=40,"Pass","Fail")</f>
        <v>Fail</v>
      </c>
    </row>
    <row r="30" spans="1:4">
      <c r="A30" s="6" t="s">
        <v>23</v>
      </c>
      <c r="B30" s="6" t="s">
        <v>26</v>
      </c>
      <c r="C30" s="6" t="s">
        <v>27</v>
      </c>
      <c r="D30" s="6" t="s">
        <v>28</v>
      </c>
    </row>
    <row r="31" spans="1:4">
      <c r="A31" s="2" t="s">
        <v>3</v>
      </c>
      <c r="B31" s="2">
        <v>450</v>
      </c>
      <c r="C31" s="7">
        <f>B31/500</f>
        <v>0.9</v>
      </c>
      <c r="D31" s="2" t="str">
        <f>IF(C31&gt;=90%,"A",IF(C31&gt;=75%,"B",IF(C31&gt;=60,"C","D")))</f>
        <v>A</v>
      </c>
    </row>
    <row r="32" spans="1:4">
      <c r="A32" s="2" t="s">
        <v>4</v>
      </c>
      <c r="B32" s="2">
        <v>380</v>
      </c>
      <c r="C32" s="7">
        <f t="shared" ref="C32:C34" si="2">B32/500</f>
        <v>0.76</v>
      </c>
      <c r="D32" s="2" t="str">
        <f t="shared" ref="D32:D34" si="3">IF(C32&gt;=90%,"A",IF(C32&gt;=75%,"B",IF(C32&gt;=60,"C","D")))</f>
        <v>B</v>
      </c>
    </row>
    <row r="33" spans="1:7">
      <c r="A33" s="2" t="s">
        <v>5</v>
      </c>
      <c r="B33" s="2">
        <v>290</v>
      </c>
      <c r="C33" s="7">
        <f t="shared" si="2"/>
        <v>0.57999999999999996</v>
      </c>
      <c r="D33" s="2" t="str">
        <f t="shared" si="3"/>
        <v>D</v>
      </c>
    </row>
    <row r="34" spans="1:7">
      <c r="A34" s="2" t="s">
        <v>6</v>
      </c>
      <c r="B34" s="2">
        <v>495</v>
      </c>
      <c r="C34" s="7">
        <f t="shared" si="2"/>
        <v>0.99</v>
      </c>
      <c r="D34" s="2" t="str">
        <f t="shared" si="3"/>
        <v>A</v>
      </c>
    </row>
    <row r="38" spans="1:7">
      <c r="A38" s="8" t="s">
        <v>11</v>
      </c>
      <c r="B38" s="8" t="s">
        <v>12</v>
      </c>
      <c r="C38" s="8" t="s">
        <v>29</v>
      </c>
      <c r="D38" s="8" t="s">
        <v>30</v>
      </c>
      <c r="E38" s="8" t="s">
        <v>31</v>
      </c>
    </row>
    <row r="39" spans="1:7">
      <c r="A39" s="2" t="s">
        <v>15</v>
      </c>
      <c r="B39" s="2">
        <v>55000</v>
      </c>
      <c r="C39" s="9">
        <v>0.18</v>
      </c>
      <c r="D39" s="2">
        <f>B39*(1+$C$39)</f>
        <v>64900</v>
      </c>
      <c r="E39" s="3">
        <f>B39*$C$39</f>
        <v>9900</v>
      </c>
    </row>
    <row r="40" spans="1:7">
      <c r="A40" s="2" t="s">
        <v>16</v>
      </c>
      <c r="B40" s="2">
        <v>500</v>
      </c>
      <c r="C40" s="9">
        <v>0.18</v>
      </c>
      <c r="D40" s="2">
        <f t="shared" ref="D40:D41" si="4">B40*(1+$C$39)</f>
        <v>590</v>
      </c>
      <c r="E40" s="3">
        <f t="shared" ref="E40:E41" si="5">B40*$C$39</f>
        <v>90</v>
      </c>
    </row>
    <row r="41" spans="1:7">
      <c r="A41" s="2" t="s">
        <v>17</v>
      </c>
      <c r="B41" s="2">
        <v>1200</v>
      </c>
      <c r="C41" s="9">
        <v>0.18</v>
      </c>
      <c r="D41" s="2">
        <f t="shared" si="4"/>
        <v>1416</v>
      </c>
      <c r="E41" s="3">
        <f t="shared" si="5"/>
        <v>216</v>
      </c>
    </row>
    <row r="45" spans="1:7">
      <c r="A45" s="10" t="s">
        <v>32</v>
      </c>
      <c r="B45" s="10" t="s">
        <v>0</v>
      </c>
      <c r="C45" s="10" t="s">
        <v>33</v>
      </c>
      <c r="E45" s="10" t="s">
        <v>32</v>
      </c>
      <c r="F45" s="10" t="s">
        <v>38</v>
      </c>
      <c r="G45" s="10" t="s">
        <v>33</v>
      </c>
    </row>
    <row r="46" spans="1:7">
      <c r="A46" s="2">
        <v>101</v>
      </c>
      <c r="B46" s="2" t="s">
        <v>3</v>
      </c>
      <c r="C46" s="2" t="s">
        <v>34</v>
      </c>
      <c r="E46" s="2">
        <v>103</v>
      </c>
      <c r="F46" s="2" t="str">
        <f>VLOOKUP(E46,$A$46:$C$49,2,FALSE)</f>
        <v>Rahul</v>
      </c>
      <c r="G46" s="2" t="str">
        <f>VLOOKUP(E46,$A$46:$C$49,3,FALSE)</f>
        <v>Sales</v>
      </c>
    </row>
    <row r="47" spans="1:7">
      <c r="A47" s="2">
        <v>102</v>
      </c>
      <c r="B47" s="2" t="s">
        <v>4</v>
      </c>
      <c r="C47" s="2" t="s">
        <v>35</v>
      </c>
    </row>
    <row r="48" spans="1:7">
      <c r="A48" s="2">
        <v>103</v>
      </c>
      <c r="B48" s="2" t="s">
        <v>5</v>
      </c>
      <c r="C48" s="2" t="s">
        <v>36</v>
      </c>
    </row>
    <row r="49" spans="1:10">
      <c r="A49" s="2">
        <v>104</v>
      </c>
      <c r="B49" s="2" t="s">
        <v>6</v>
      </c>
      <c r="C49" s="2" t="s">
        <v>37</v>
      </c>
    </row>
    <row r="52" spans="1:10">
      <c r="A52" s="11" t="s">
        <v>39</v>
      </c>
      <c r="B52" s="11" t="s">
        <v>11</v>
      </c>
      <c r="C52" s="11" t="s">
        <v>12</v>
      </c>
      <c r="E52" s="12" t="s">
        <v>39</v>
      </c>
      <c r="F52" s="12" t="s">
        <v>11</v>
      </c>
      <c r="G52" s="12" t="s">
        <v>12</v>
      </c>
    </row>
    <row r="53" spans="1:10">
      <c r="A53" s="2">
        <v>501</v>
      </c>
      <c r="B53" s="2" t="s">
        <v>15</v>
      </c>
      <c r="C53" s="2">
        <v>55000</v>
      </c>
      <c r="E53" s="2">
        <v>504</v>
      </c>
      <c r="F53" s="2" t="str">
        <f>VLOOKUP(E53,$A$53:$C$56,2,FALSE)</f>
        <v>Monitor</v>
      </c>
      <c r="G53" s="2">
        <f>VLOOKUP(E53,$A$53:$C$56,3,FALSE)</f>
        <v>1500</v>
      </c>
      <c r="I53" t="s">
        <v>42</v>
      </c>
      <c r="J53">
        <f>SUM(C53:C56)</f>
        <v>58200</v>
      </c>
    </row>
    <row r="54" spans="1:10">
      <c r="A54" s="2">
        <v>502</v>
      </c>
      <c r="B54" s="2" t="s">
        <v>16</v>
      </c>
      <c r="C54" s="2">
        <v>500</v>
      </c>
      <c r="E54" s="2"/>
      <c r="F54" s="2"/>
      <c r="G54" s="2"/>
      <c r="I54" t="s">
        <v>43</v>
      </c>
      <c r="J54">
        <f>AVERAGE(C53:C56)</f>
        <v>14550</v>
      </c>
    </row>
    <row r="55" spans="1:10">
      <c r="A55" s="2">
        <v>503</v>
      </c>
      <c r="B55" s="2" t="s">
        <v>40</v>
      </c>
      <c r="C55" s="2">
        <v>1200</v>
      </c>
      <c r="I55" t="s">
        <v>44</v>
      </c>
      <c r="J55" t="str">
        <f>IF(B21&gt;=40,"Pass","Fail")</f>
        <v>Pass</v>
      </c>
    </row>
    <row r="56" spans="1:10">
      <c r="A56" s="2">
        <v>504</v>
      </c>
      <c r="B56" s="2" t="s">
        <v>41</v>
      </c>
      <c r="C56" s="2">
        <v>1500</v>
      </c>
      <c r="I56" t="s">
        <v>45</v>
      </c>
      <c r="J56" t="str">
        <f>VLOOKUP(A53,$A$53:$C$56,2,FALSE)</f>
        <v>Laptop</v>
      </c>
    </row>
    <row r="59" spans="1:10">
      <c r="A59" s="13" t="s">
        <v>32</v>
      </c>
      <c r="B59" s="13" t="s">
        <v>0</v>
      </c>
      <c r="C59" s="13" t="s">
        <v>46</v>
      </c>
      <c r="E59" s="13" t="s">
        <v>47</v>
      </c>
      <c r="F59" s="13" t="s">
        <v>0</v>
      </c>
      <c r="G59" s="13" t="s">
        <v>46</v>
      </c>
    </row>
    <row r="60" spans="1:10">
      <c r="A60" s="2">
        <v>101</v>
      </c>
      <c r="B60" s="2" t="s">
        <v>3</v>
      </c>
      <c r="C60" s="2">
        <v>30000</v>
      </c>
      <c r="E60" s="2">
        <v>102</v>
      </c>
      <c r="F60" s="2" t="str">
        <f>_xlfn.XLOOKUP(E60,A60:A63,B60:B63)</f>
        <v>Neha</v>
      </c>
      <c r="G60" s="2">
        <f>_xlfn.XLOOKUP(E60,A60:A63,C60:C63)</f>
        <v>45000</v>
      </c>
      <c r="I60">
        <f>IFERROR(100/20,"Error")</f>
        <v>5</v>
      </c>
    </row>
    <row r="61" spans="1:10">
      <c r="A61" s="2">
        <v>102</v>
      </c>
      <c r="B61" s="2" t="s">
        <v>4</v>
      </c>
      <c r="C61" s="2">
        <v>45000</v>
      </c>
      <c r="I61" t="str">
        <f>IFERROR(100/0,"Error")</f>
        <v>Error</v>
      </c>
    </row>
    <row r="62" spans="1:10">
      <c r="A62" s="2">
        <v>103</v>
      </c>
      <c r="B62" s="2" t="s">
        <v>5</v>
      </c>
      <c r="C62" s="2">
        <v>40000</v>
      </c>
      <c r="I62" t="str">
        <f>IFERROR(VLOOKUP(103,A60:C63,2,FALSE),"Not Found")</f>
        <v>Rahul</v>
      </c>
    </row>
    <row r="63" spans="1:10">
      <c r="A63" s="2">
        <v>104</v>
      </c>
      <c r="B63" s="2" t="s">
        <v>6</v>
      </c>
      <c r="C63" s="2">
        <v>50000</v>
      </c>
      <c r="I63" t="str">
        <f>IFERROR(VLOOKUP(999,A60:C63,2,FALSE),"Not Found")</f>
        <v>Not Found</v>
      </c>
    </row>
    <row r="66" spans="1:6">
      <c r="A66" s="14" t="s">
        <v>39</v>
      </c>
      <c r="B66" s="14" t="s">
        <v>11</v>
      </c>
      <c r="C66" s="14" t="s">
        <v>12</v>
      </c>
    </row>
    <row r="67" spans="1:6">
      <c r="A67" s="2">
        <v>501</v>
      </c>
      <c r="B67" s="2" t="s">
        <v>15</v>
      </c>
      <c r="C67" s="2">
        <v>55000</v>
      </c>
      <c r="E67" t="str">
        <f>INDEX(B67:B70,MATCH(503,A67:A70,0))</f>
        <v>Keyboard</v>
      </c>
    </row>
    <row r="68" spans="1:6">
      <c r="A68" s="2">
        <v>502</v>
      </c>
      <c r="B68" s="2" t="s">
        <v>16</v>
      </c>
      <c r="C68" s="2">
        <v>500</v>
      </c>
    </row>
    <row r="69" spans="1:6">
      <c r="A69" s="2">
        <v>503</v>
      </c>
      <c r="B69" s="2" t="s">
        <v>40</v>
      </c>
      <c r="C69" s="2">
        <v>1200</v>
      </c>
    </row>
    <row r="70" spans="1:6">
      <c r="A70" s="2">
        <v>504</v>
      </c>
      <c r="B70" s="2" t="s">
        <v>41</v>
      </c>
      <c r="C70" s="2">
        <v>1500</v>
      </c>
    </row>
    <row r="73" spans="1:6">
      <c r="A73" s="11" t="s">
        <v>2</v>
      </c>
      <c r="B73" s="11" t="s">
        <v>36</v>
      </c>
    </row>
    <row r="74" spans="1:6">
      <c r="A74" s="2" t="s">
        <v>9</v>
      </c>
      <c r="B74" s="2">
        <v>10000</v>
      </c>
      <c r="D74" t="s">
        <v>48</v>
      </c>
      <c r="F74">
        <f>SUMIF(A74:A78,"Ranchi",B74:B78)</f>
        <v>25000</v>
      </c>
    </row>
    <row r="75" spans="1:6">
      <c r="A75" s="2" t="s">
        <v>7</v>
      </c>
      <c r="B75" s="2">
        <v>15000</v>
      </c>
    </row>
    <row r="76" spans="1:6">
      <c r="A76" s="2" t="s">
        <v>9</v>
      </c>
      <c r="B76" s="2">
        <v>8000</v>
      </c>
    </row>
    <row r="77" spans="1:6">
      <c r="A77" s="2" t="s">
        <v>8</v>
      </c>
      <c r="B77" s="2">
        <v>12000</v>
      </c>
    </row>
    <row r="78" spans="1:6">
      <c r="A78" s="2" t="s">
        <v>9</v>
      </c>
      <c r="B78" s="2">
        <v>7000</v>
      </c>
    </row>
    <row r="81" spans="1:8">
      <c r="A81" s="15" t="s">
        <v>2</v>
      </c>
      <c r="B81" s="15" t="s">
        <v>11</v>
      </c>
      <c r="C81" s="15" t="s">
        <v>36</v>
      </c>
    </row>
    <row r="82" spans="1:8">
      <c r="A82" s="2" t="s">
        <v>9</v>
      </c>
      <c r="B82" s="2" t="s">
        <v>15</v>
      </c>
      <c r="C82" s="2">
        <v>12000</v>
      </c>
      <c r="E82" t="s">
        <v>49</v>
      </c>
      <c r="H82">
        <f>SUMIFS(C82:C86,A82:A86,A82,B82:B86,B82)</f>
        <v>18000</v>
      </c>
    </row>
    <row r="83" spans="1:8">
      <c r="A83" s="2" t="s">
        <v>9</v>
      </c>
      <c r="B83" s="2" t="s">
        <v>16</v>
      </c>
      <c r="C83" s="2">
        <v>3000</v>
      </c>
    </row>
    <row r="84" spans="1:8">
      <c r="A84" s="2" t="s">
        <v>7</v>
      </c>
      <c r="B84" s="2" t="s">
        <v>15</v>
      </c>
      <c r="C84" s="2">
        <v>9000</v>
      </c>
    </row>
    <row r="85" spans="1:8">
      <c r="A85" s="2" t="s">
        <v>9</v>
      </c>
      <c r="B85" s="2" t="s">
        <v>15</v>
      </c>
      <c r="C85" s="2">
        <v>6000</v>
      </c>
    </row>
    <row r="86" spans="1:8">
      <c r="A86" s="2" t="s">
        <v>8</v>
      </c>
      <c r="B86" s="2" t="s">
        <v>15</v>
      </c>
      <c r="C86" s="2">
        <v>10000</v>
      </c>
    </row>
    <row r="89" spans="1:8">
      <c r="A89" s="16" t="s">
        <v>11</v>
      </c>
    </row>
    <row r="90" spans="1:8">
      <c r="A90" s="3" t="s">
        <v>15</v>
      </c>
      <c r="C90">
        <f>COUNTIF(A90:A95,"Laptop")</f>
        <v>3</v>
      </c>
    </row>
    <row r="91" spans="1:8">
      <c r="A91" s="3" t="s">
        <v>16</v>
      </c>
    </row>
    <row r="92" spans="1:8">
      <c r="A92" s="3" t="s">
        <v>15</v>
      </c>
    </row>
    <row r="93" spans="1:8">
      <c r="A93" s="3" t="s">
        <v>40</v>
      </c>
    </row>
    <row r="94" spans="1:8">
      <c r="A94" s="3" t="s">
        <v>15</v>
      </c>
    </row>
    <row r="95" spans="1:8">
      <c r="A95" s="3" t="s">
        <v>16</v>
      </c>
    </row>
    <row r="98" spans="1:6">
      <c r="A98" s="17" t="s">
        <v>2</v>
      </c>
      <c r="B98" s="17" t="s">
        <v>11</v>
      </c>
    </row>
    <row r="99" spans="1:6">
      <c r="A99" s="2" t="s">
        <v>9</v>
      </c>
      <c r="B99" s="2" t="s">
        <v>15</v>
      </c>
      <c r="D99" t="s">
        <v>50</v>
      </c>
      <c r="F99">
        <f>COUNTIFS(A99:A104,"Ranchi",B99:B104,"Laptop")</f>
        <v>3</v>
      </c>
    </row>
    <row r="100" spans="1:6">
      <c r="A100" s="2" t="s">
        <v>7</v>
      </c>
      <c r="B100" s="2" t="s">
        <v>15</v>
      </c>
    </row>
    <row r="101" spans="1:6">
      <c r="A101" s="2" t="s">
        <v>9</v>
      </c>
      <c r="B101" s="2" t="s">
        <v>16</v>
      </c>
    </row>
    <row r="102" spans="1:6">
      <c r="A102" s="2" t="s">
        <v>9</v>
      </c>
      <c r="B102" s="2" t="s">
        <v>15</v>
      </c>
    </row>
    <row r="103" spans="1:6">
      <c r="A103" s="2" t="s">
        <v>8</v>
      </c>
      <c r="B103" s="2" t="s">
        <v>16</v>
      </c>
    </row>
    <row r="104" spans="1:6">
      <c r="A104" s="2" t="s">
        <v>9</v>
      </c>
      <c r="B104" s="2" t="s">
        <v>15</v>
      </c>
    </row>
    <row r="107" spans="1:6">
      <c r="A107" s="18" t="s">
        <v>51</v>
      </c>
    </row>
    <row r="108" spans="1:6">
      <c r="A108" s="2" t="s">
        <v>52</v>
      </c>
      <c r="C108" t="str">
        <f>LEFT(A108,3)</f>
        <v>EMP</v>
      </c>
    </row>
    <row r="109" spans="1:6">
      <c r="A109" s="2" t="s">
        <v>53</v>
      </c>
      <c r="C109" t="str">
        <f>RIGHT(A109,3)</f>
        <v>205</v>
      </c>
    </row>
    <row r="110" spans="1:6">
      <c r="A110" s="2" t="s">
        <v>54</v>
      </c>
      <c r="C110" t="str">
        <f>MID(A108,4,3)</f>
        <v>101</v>
      </c>
    </row>
    <row r="113" spans="1:2">
      <c r="A113" s="19" t="s">
        <v>55</v>
      </c>
      <c r="B113" s="19" t="s">
        <v>57</v>
      </c>
    </row>
    <row r="114" spans="1:2">
      <c r="A114" s="2" t="s">
        <v>15</v>
      </c>
      <c r="B114" s="2">
        <f>LEN(A114)</f>
        <v>6</v>
      </c>
    </row>
    <row r="115" spans="1:2">
      <c r="A115" s="2" t="s">
        <v>16</v>
      </c>
      <c r="B115" s="2">
        <f t="shared" ref="B115:B118" si="6">LEN(A115)</f>
        <v>5</v>
      </c>
    </row>
    <row r="116" spans="1:2">
      <c r="A116" s="2" t="s">
        <v>40</v>
      </c>
      <c r="B116" s="2">
        <f t="shared" si="6"/>
        <v>8</v>
      </c>
    </row>
    <row r="117" spans="1:2">
      <c r="A117" s="2" t="s">
        <v>52</v>
      </c>
      <c r="B117" s="2">
        <f t="shared" si="6"/>
        <v>6</v>
      </c>
    </row>
    <row r="118" spans="1:2">
      <c r="A118" s="2" t="s">
        <v>56</v>
      </c>
      <c r="B118" s="2">
        <f t="shared" si="6"/>
        <v>10</v>
      </c>
    </row>
    <row r="121" spans="1:2">
      <c r="A121" s="20" t="s">
        <v>58</v>
      </c>
      <c r="B121" s="21" t="s">
        <v>59</v>
      </c>
    </row>
    <row r="122" spans="1:2">
      <c r="A122" s="3" t="s">
        <v>60</v>
      </c>
      <c r="B122" s="3" t="str">
        <f>TRIM(A122)</f>
        <v>Amit</v>
      </c>
    </row>
    <row r="123" spans="1:2">
      <c r="A123" s="3" t="s">
        <v>61</v>
      </c>
      <c r="B123" s="3" t="str">
        <f t="shared" ref="B123:B126" si="7">TRIM(A123)</f>
        <v>Rahul</v>
      </c>
    </row>
    <row r="124" spans="1:2">
      <c r="A124" s="3" t="s">
        <v>62</v>
      </c>
      <c r="B124" s="3" t="str">
        <f t="shared" si="7"/>
        <v>Neha Sharma</v>
      </c>
    </row>
    <row r="125" spans="1:2">
      <c r="A125" s="3" t="s">
        <v>64</v>
      </c>
      <c r="B125" s="3" t="str">
        <f t="shared" si="7"/>
        <v>Data Analyst</v>
      </c>
    </row>
    <row r="126" spans="1:2">
      <c r="A126" s="3" t="s">
        <v>63</v>
      </c>
      <c r="B126" s="3" t="str">
        <f t="shared" si="7"/>
        <v>SurajKumar</v>
      </c>
    </row>
    <row r="129" spans="1:5">
      <c r="A129" s="22" t="s">
        <v>65</v>
      </c>
      <c r="B129" s="22" t="s">
        <v>66</v>
      </c>
      <c r="C129" s="22" t="s">
        <v>71</v>
      </c>
      <c r="E129" s="22" t="s">
        <v>92</v>
      </c>
    </row>
    <row r="130" spans="1:5">
      <c r="A130" s="3" t="s">
        <v>67</v>
      </c>
      <c r="B130" s="3" t="s">
        <v>68</v>
      </c>
      <c r="C130" s="3" t="str">
        <f>_xlfn.CONCAT(A130," ",B130)</f>
        <v>Amit  Kumar</v>
      </c>
      <c r="E130" s="3" t="str">
        <f>A130&amp;" "&amp;B130</f>
        <v>Amit  Kumar</v>
      </c>
    </row>
    <row r="131" spans="1:5">
      <c r="A131" s="3" t="s">
        <v>4</v>
      </c>
      <c r="B131" s="3" t="s">
        <v>69</v>
      </c>
      <c r="C131" s="3" t="str">
        <f t="shared" ref="C131:C132" si="8">_xlfn.CONCAT(A131," ",B131)</f>
        <v>Neha Verma</v>
      </c>
      <c r="E131" s="3" t="str">
        <f t="shared" ref="E131:E132" si="9">A131&amp;" "&amp;B131</f>
        <v>Neha Verma</v>
      </c>
    </row>
    <row r="132" spans="1:5">
      <c r="A132" s="3" t="s">
        <v>5</v>
      </c>
      <c r="B132" s="3" t="s">
        <v>70</v>
      </c>
      <c r="C132" s="3" t="str">
        <f t="shared" si="8"/>
        <v>Rahul Sarma</v>
      </c>
      <c r="E132" s="3" t="str">
        <f t="shared" si="9"/>
        <v>Rahul Sarma</v>
      </c>
    </row>
    <row r="135" spans="1:5">
      <c r="A135" s="23" t="s">
        <v>72</v>
      </c>
      <c r="B135" s="23" t="s">
        <v>73</v>
      </c>
      <c r="C135" s="23" t="s">
        <v>74</v>
      </c>
    </row>
    <row r="136" spans="1:5">
      <c r="A136" s="24">
        <v>45884</v>
      </c>
      <c r="B136" s="3">
        <v>55000</v>
      </c>
      <c r="C136" s="2" t="str">
        <f>TEXT(A136,"mmmm")</f>
        <v>August</v>
      </c>
    </row>
    <row r="137" spans="1:5">
      <c r="A137" s="24">
        <v>45683</v>
      </c>
      <c r="B137" s="3">
        <v>1200</v>
      </c>
      <c r="C137" s="2" t="str">
        <f>TEXT(A136,"yyyy")</f>
        <v>2025</v>
      </c>
    </row>
    <row r="138" spans="1:5">
      <c r="A138" s="24">
        <v>45383</v>
      </c>
      <c r="B138" s="3">
        <v>500</v>
      </c>
      <c r="C138" s="2" t="str">
        <f>TEXT(B136,"₹#,##0")</f>
        <v>₹55,000</v>
      </c>
    </row>
    <row r="141" spans="1:5">
      <c r="A141" s="25" t="s">
        <v>75</v>
      </c>
      <c r="B141" s="25" t="s">
        <v>79</v>
      </c>
      <c r="C141" s="25" t="s">
        <v>80</v>
      </c>
      <c r="D141" s="25" t="s">
        <v>81</v>
      </c>
    </row>
    <row r="142" spans="1:5">
      <c r="A142" s="3" t="s">
        <v>76</v>
      </c>
      <c r="B142" s="3" t="str">
        <f>UPPER(A142)</f>
        <v>AMIT KUMAR</v>
      </c>
      <c r="C142" s="3" t="str">
        <f>LOWER(A142)</f>
        <v>amit kumar</v>
      </c>
      <c r="D142" s="3" t="str">
        <f>PROPER(A142)</f>
        <v>Amit Kumar</v>
      </c>
    </row>
    <row r="143" spans="1:5">
      <c r="A143" s="3" t="s">
        <v>77</v>
      </c>
      <c r="B143" s="3" t="str">
        <f t="shared" ref="B143:B145" si="10">UPPER(A143)</f>
        <v>RAHUL SHARMA</v>
      </c>
      <c r="C143" s="3" t="str">
        <f t="shared" ref="C143:C145" si="11">LOWER(A143)</f>
        <v>rahul sharma</v>
      </c>
      <c r="D143" s="3" t="str">
        <f t="shared" ref="D143:D145" si="12">PROPER(A143)</f>
        <v>Rahul Sharma</v>
      </c>
    </row>
    <row r="144" spans="1:5">
      <c r="A144" s="3" t="s">
        <v>78</v>
      </c>
      <c r="B144" s="3" t="str">
        <f t="shared" si="10"/>
        <v>NEHA VERMA</v>
      </c>
      <c r="C144" s="3" t="str">
        <f t="shared" si="11"/>
        <v>neha verma</v>
      </c>
      <c r="D144" s="3" t="str">
        <f t="shared" si="12"/>
        <v>Neha Verma</v>
      </c>
    </row>
    <row r="145" spans="1:4">
      <c r="A145" s="3" t="s">
        <v>82</v>
      </c>
      <c r="B145" s="3" t="str">
        <f t="shared" si="10"/>
        <v>KARAN GUPTA</v>
      </c>
      <c r="C145" s="3" t="str">
        <f t="shared" si="11"/>
        <v>karan gupta</v>
      </c>
      <c r="D145" s="3" t="str">
        <f t="shared" si="12"/>
        <v>Karan Gupta</v>
      </c>
    </row>
    <row r="148" spans="1:4">
      <c r="A148" s="26" t="s">
        <v>55</v>
      </c>
    </row>
    <row r="149" spans="1:4">
      <c r="A149" s="2" t="s">
        <v>83</v>
      </c>
      <c r="C149">
        <f>FIND("Analyst",A149)</f>
        <v>6</v>
      </c>
    </row>
    <row r="150" spans="1:4">
      <c r="A150" s="2" t="s">
        <v>84</v>
      </c>
      <c r="C150">
        <f>SEARCH("excel",A150)</f>
        <v>11</v>
      </c>
      <c r="D150" t="e">
        <f>FIND("excel",A150)</f>
        <v>#VALUE!</v>
      </c>
    </row>
    <row r="151" spans="1:4">
      <c r="A151" s="2" t="s">
        <v>85</v>
      </c>
      <c r="C151">
        <f>FIND("BI",A151)</f>
        <v>7</v>
      </c>
    </row>
    <row r="154" spans="1:4">
      <c r="A154" s="10" t="s">
        <v>58</v>
      </c>
      <c r="B154" s="28" t="s">
        <v>89</v>
      </c>
    </row>
    <row r="155" spans="1:4">
      <c r="A155" s="2" t="s">
        <v>86</v>
      </c>
      <c r="B155" s="3" t="str">
        <f>SUBSTITUTE(A155,"-"," ")</f>
        <v>Data Analyst</v>
      </c>
    </row>
    <row r="156" spans="1:4">
      <c r="A156" s="2" t="s">
        <v>87</v>
      </c>
      <c r="B156" s="3" t="str">
        <f>SUBSTITUTE(A156,"_"," ")</f>
        <v>Rahul Kumar</v>
      </c>
    </row>
    <row r="157" spans="1:4">
      <c r="A157" s="2" t="s">
        <v>88</v>
      </c>
      <c r="B157" s="3" t="str">
        <f>SUBSTITUTE(A157,","," ")</f>
        <v>Excel Formula</v>
      </c>
    </row>
    <row r="158" spans="1:4">
      <c r="A158" s="27">
        <v>45881</v>
      </c>
      <c r="B158" s="24" t="str">
        <f>SUBSTITUTE(TEXT(A158,"dd-mm-yyyy"),"-","/")</f>
        <v>12/08/2025</v>
      </c>
    </row>
    <row r="161" spans="1:4">
      <c r="A161" s="29" t="s">
        <v>90</v>
      </c>
      <c r="B161" s="29" t="s">
        <v>91</v>
      </c>
    </row>
    <row r="162" spans="1:4">
      <c r="A162" s="3" t="s">
        <v>52</v>
      </c>
      <c r="B162" s="3" t="str">
        <f>REPLACE(A162,4,3,"999")</f>
        <v>EMP999</v>
      </c>
    </row>
    <row r="163" spans="1:4">
      <c r="A163" s="3" t="s">
        <v>15</v>
      </c>
      <c r="B163" s="3" t="str">
        <f>REPLACE(A163,1,3,"Desk")</f>
        <v>Desktop</v>
      </c>
    </row>
    <row r="164" spans="1:4">
      <c r="A164" s="30">
        <v>9876543210</v>
      </c>
      <c r="B164" s="3" t="str">
        <f>REPLACE(A164,4,4,"****")</f>
        <v>987****210</v>
      </c>
    </row>
    <row r="165" spans="1:4">
      <c r="A165" s="3" t="s">
        <v>83</v>
      </c>
      <c r="B165" s="3" t="str">
        <f>REPLACE(A165,6,7,"Engineer")</f>
        <v>Data Engineer</v>
      </c>
    </row>
    <row r="166" spans="1:4">
      <c r="D166" s="31" t="s">
        <v>93</v>
      </c>
    </row>
    <row r="168" spans="1:4">
      <c r="A168" s="32" t="s">
        <v>94</v>
      </c>
      <c r="B168" s="32" t="s">
        <v>95</v>
      </c>
      <c r="C168" s="32" t="s">
        <v>96</v>
      </c>
    </row>
    <row r="169" spans="1:4">
      <c r="A169" s="3" t="s">
        <v>3</v>
      </c>
      <c r="B169" s="3" t="s">
        <v>68</v>
      </c>
      <c r="C169" s="3" t="str">
        <f>_xlfn.TEXTJOIN(" ",TRUE,A169:B169)</f>
        <v>Amit Kumar</v>
      </c>
    </row>
    <row r="170" spans="1:4">
      <c r="A170" s="3" t="s">
        <v>4</v>
      </c>
      <c r="B170" s="3" t="s">
        <v>69</v>
      </c>
      <c r="C170" s="3" t="str">
        <f t="shared" ref="C170:C171" si="13">_xlfn.TEXTJOIN(" ",TRUE,A170:B170)</f>
        <v>Neha Verma</v>
      </c>
    </row>
    <row r="171" spans="1:4">
      <c r="A171" s="3" t="s">
        <v>5</v>
      </c>
      <c r="B171" s="3" t="s">
        <v>97</v>
      </c>
      <c r="C171" s="3" t="str">
        <f t="shared" si="13"/>
        <v>Rahul Sharma</v>
      </c>
    </row>
    <row r="174" spans="1:4">
      <c r="A174" s="25" t="s">
        <v>65</v>
      </c>
      <c r="B174" s="25" t="s">
        <v>66</v>
      </c>
      <c r="C174" s="25" t="s">
        <v>2</v>
      </c>
      <c r="D174" s="25" t="s">
        <v>98</v>
      </c>
    </row>
    <row r="175" spans="1:4">
      <c r="A175" s="3" t="s">
        <v>3</v>
      </c>
      <c r="B175" s="3" t="s">
        <v>68</v>
      </c>
      <c r="C175" s="3" t="s">
        <v>9</v>
      </c>
      <c r="D175" s="3" t="str">
        <f>_xlfn.TEXTJOIN(", ",TRUE,A175:C175)</f>
        <v>Amit, Kumar, Ranchi</v>
      </c>
    </row>
    <row r="176" spans="1:4">
      <c r="A176" s="3" t="s">
        <v>4</v>
      </c>
      <c r="B176" s="3" t="s">
        <v>69</v>
      </c>
      <c r="C176" s="3" t="s">
        <v>7</v>
      </c>
      <c r="D176" s="3" t="str">
        <f>_xlfn.TEXTJOIN(", ",TRUE,A176:C176)</f>
        <v>Neha, Verma, Delhi</v>
      </c>
    </row>
    <row r="177" spans="1:5">
      <c r="A177" s="3" t="s">
        <v>5</v>
      </c>
      <c r="B177" s="3" t="s">
        <v>97</v>
      </c>
      <c r="C177" s="3" t="s">
        <v>8</v>
      </c>
      <c r="D177" s="3" t="str">
        <f>_xlfn.TEXTJOIN(", ",TRUE,A177:C177)</f>
        <v>Rahul, Sharma, Mumbai</v>
      </c>
    </row>
    <row r="179" spans="1:5">
      <c r="A179" s="13" t="s">
        <v>99</v>
      </c>
      <c r="B179" s="13" t="s">
        <v>100</v>
      </c>
      <c r="C179" s="13" t="s">
        <v>101</v>
      </c>
      <c r="D179" s="13" t="s">
        <v>98</v>
      </c>
      <c r="E179" s="13" t="s">
        <v>103</v>
      </c>
    </row>
    <row r="180" spans="1:5">
      <c r="A180" s="2" t="s">
        <v>3</v>
      </c>
      <c r="B180" s="2"/>
      <c r="C180" s="2" t="s">
        <v>68</v>
      </c>
      <c r="D180" s="2" t="str">
        <f>_xlfn.TEXTJOIN(" ",TRUE,A180:C180)</f>
        <v>Amit Kumar</v>
      </c>
      <c r="E180" s="2" t="str">
        <f>_xlfn.TEXTJOIN(" ",FALSE,A180:C180)</f>
        <v>Amit  Kumar</v>
      </c>
    </row>
    <row r="181" spans="1:5">
      <c r="A181" s="2" t="s">
        <v>5</v>
      </c>
      <c r="B181" s="2" t="s">
        <v>102</v>
      </c>
      <c r="C181" s="2" t="s">
        <v>97</v>
      </c>
      <c r="D181" s="2" t="str">
        <f>_xlfn.TEXTJOIN(" ",TRUE,A181:C181)</f>
        <v>Rahul Singh Sharma</v>
      </c>
      <c r="E181" s="2" t="str">
        <f>_xlfn.TEXTJOIN(" ",FALSE,A181:C181)</f>
        <v>Rahul Singh Sharma</v>
      </c>
    </row>
    <row r="182" spans="1:5">
      <c r="A182" s="2" t="s">
        <v>4</v>
      </c>
      <c r="B182" s="2"/>
      <c r="C182" s="2" t="s">
        <v>69</v>
      </c>
      <c r="D182" s="2" t="str">
        <f>_xlfn.TEXTJOIN(" ",TRUE,A182:C182)</f>
        <v>Neha Verma</v>
      </c>
      <c r="E182" s="2" t="str">
        <f>_xlfn.TEXTJOIN(" ",FALSE,A182:C182)</f>
        <v>Neha  Verma</v>
      </c>
    </row>
    <row r="184" spans="1:5">
      <c r="A184" s="33" t="s">
        <v>104</v>
      </c>
      <c r="B184" s="33" t="s">
        <v>105</v>
      </c>
      <c r="C184" s="33" t="s">
        <v>98</v>
      </c>
    </row>
    <row r="185" spans="1:5">
      <c r="A185" s="34" t="s">
        <v>106</v>
      </c>
      <c r="B185" s="35">
        <v>9876543210</v>
      </c>
      <c r="C185" s="3" t="str">
        <f>_xlfn.TEXTJOIN("-",TRUE,A185:B185)</f>
        <v>+91-9876543210</v>
      </c>
    </row>
    <row r="186" spans="1:5">
      <c r="A186" s="34" t="s">
        <v>107</v>
      </c>
      <c r="B186" s="35">
        <v>987654321</v>
      </c>
      <c r="C186" s="3" t="str">
        <f>_xlfn.TEXTJOIN("-",TRUE,A186:B186)</f>
        <v>+1-987654321</v>
      </c>
    </row>
    <row r="188" spans="1:5">
      <c r="A188" s="13" t="s">
        <v>33</v>
      </c>
      <c r="B188" s="13" t="s">
        <v>108</v>
      </c>
      <c r="C188" s="13" t="s">
        <v>98</v>
      </c>
    </row>
    <row r="189" spans="1:5">
      <c r="A189" s="2" t="s">
        <v>34</v>
      </c>
      <c r="B189" s="2">
        <v>101</v>
      </c>
      <c r="C189" s="2" t="str">
        <f>_xlfn.TEXTJOIN("-",TRUE,A189:B189)</f>
        <v>HR-101</v>
      </c>
    </row>
    <row r="190" spans="1:5">
      <c r="A190" s="2" t="s">
        <v>35</v>
      </c>
      <c r="B190" s="2">
        <v>205</v>
      </c>
      <c r="C190" s="2" t="str">
        <f>_xlfn.TEXTJOIN("-",TRUE,A190:B190)</f>
        <v>IT-205</v>
      </c>
    </row>
    <row r="191" spans="1:5">
      <c r="A191" s="2" t="s">
        <v>36</v>
      </c>
      <c r="B191" s="2">
        <v>309</v>
      </c>
      <c r="C191" s="2" t="str">
        <f>_xlfn.TEXTJOIN("-",TRUE,A191:B191)</f>
        <v>Sales-309</v>
      </c>
    </row>
    <row r="193" spans="1:7">
      <c r="A193" s="13" t="s">
        <v>109</v>
      </c>
      <c r="B193" s="13" t="s">
        <v>110</v>
      </c>
      <c r="C193" s="13" t="s">
        <v>2</v>
      </c>
      <c r="D193" s="13" t="s">
        <v>111</v>
      </c>
      <c r="E193" s="13" t="s">
        <v>98</v>
      </c>
    </row>
    <row r="194" spans="1:7">
      <c r="A194" s="2">
        <v>45</v>
      </c>
      <c r="B194" s="2" t="s">
        <v>112</v>
      </c>
      <c r="C194" s="2" t="s">
        <v>9</v>
      </c>
      <c r="D194" s="2" t="s">
        <v>113</v>
      </c>
      <c r="E194" s="2" t="str">
        <f>_xlfn.TEXTJOIN(", ",TRUE,A194:D194)</f>
        <v>45, Harmu, Ranchi, Jharkhand</v>
      </c>
    </row>
    <row r="196" spans="1:7">
      <c r="A196" s="13" t="s">
        <v>65</v>
      </c>
      <c r="B196" s="13" t="s">
        <v>114</v>
      </c>
      <c r="C196" s="13" t="s">
        <v>66</v>
      </c>
      <c r="D196" s="13" t="s">
        <v>2</v>
      </c>
      <c r="E196" s="13" t="s">
        <v>98</v>
      </c>
    </row>
    <row r="197" spans="1:7">
      <c r="A197" s="2" t="s">
        <v>3</v>
      </c>
      <c r="B197" s="2"/>
      <c r="C197" s="2" t="s">
        <v>68</v>
      </c>
      <c r="D197" s="2" t="s">
        <v>9</v>
      </c>
      <c r="E197" s="2" t="str">
        <f>_xlfn.TEXTJOIN(" ",TRUE,A197:D197)</f>
        <v>Amit Kumar Ranchi</v>
      </c>
      <c r="G197" t="str">
        <f>_xlfn.TEXTJOIN("+",FALSE,A197:D197)</f>
        <v>Amit++Kumar+Ranchi</v>
      </c>
    </row>
    <row r="198" spans="1:7">
      <c r="A198" s="2" t="s">
        <v>4</v>
      </c>
      <c r="B198" s="2" t="s">
        <v>115</v>
      </c>
      <c r="C198" s="2" t="s">
        <v>69</v>
      </c>
      <c r="D198" s="2" t="s">
        <v>7</v>
      </c>
      <c r="E198" s="2" t="str">
        <f>_xlfn.TEXTJOIN("-",TRUE,A198:D198)</f>
        <v>Neha-Rani-Verma-Delhi</v>
      </c>
    </row>
    <row r="199" spans="1:7">
      <c r="A199" s="2" t="s">
        <v>5</v>
      </c>
      <c r="B199" s="2"/>
      <c r="C199" s="2" t="s">
        <v>97</v>
      </c>
      <c r="D199" s="2" t="s">
        <v>8</v>
      </c>
      <c r="E199" s="2" t="str">
        <f>_xlfn.TEXTJOIN(", ",TRUE,A199:D199)</f>
        <v>Rahul, Sharma, Mumbai</v>
      </c>
    </row>
    <row r="201" spans="1:7">
      <c r="C201" s="31" t="s">
        <v>116</v>
      </c>
    </row>
    <row r="203" spans="1:7">
      <c r="A203" s="36" t="s">
        <v>117</v>
      </c>
      <c r="B203" s="36" t="s">
        <v>0</v>
      </c>
      <c r="C203" s="36" t="s">
        <v>46</v>
      </c>
      <c r="E203" s="36" t="s">
        <v>32</v>
      </c>
      <c r="F203" s="36" t="s">
        <v>0</v>
      </c>
      <c r="G203" s="36" t="s">
        <v>46</v>
      </c>
    </row>
    <row r="204" spans="1:7">
      <c r="A204" s="2">
        <v>101</v>
      </c>
      <c r="B204" s="2" t="s">
        <v>3</v>
      </c>
      <c r="C204" s="2">
        <v>30000</v>
      </c>
      <c r="E204" s="2">
        <v>103</v>
      </c>
      <c r="F204" s="2" t="str">
        <f>_xlfn.XLOOKUP(E204,A204:A207,B204:B207)</f>
        <v>Rahul</v>
      </c>
      <c r="G204" s="2">
        <f>_xlfn.XLOOKUP(E204,A204:A207,C204:C207)</f>
        <v>40000</v>
      </c>
    </row>
    <row r="205" spans="1:7">
      <c r="A205" s="2">
        <v>102</v>
      </c>
      <c r="B205" s="2" t="s">
        <v>4</v>
      </c>
      <c r="C205" s="2">
        <v>45000</v>
      </c>
      <c r="E205" s="2">
        <v>110</v>
      </c>
      <c r="F205" s="2" t="str">
        <f>_xlfn.XLOOKUP(E205,A204:A207,B204:B207,"Not Found")</f>
        <v>Not Found</v>
      </c>
      <c r="G205" s="2" t="str">
        <f>_xlfn.XLOOKUP(E205,A204:A207,C204:C207,"Not Found")</f>
        <v>Not Found</v>
      </c>
    </row>
    <row r="206" spans="1:7">
      <c r="A206" s="2">
        <v>103</v>
      </c>
      <c r="B206" s="2" t="s">
        <v>5</v>
      </c>
      <c r="C206" s="2">
        <v>40000</v>
      </c>
    </row>
    <row r="207" spans="1:7">
      <c r="A207" s="2">
        <v>104</v>
      </c>
      <c r="B207" s="2" t="s">
        <v>6</v>
      </c>
      <c r="C207" s="2">
        <v>50000</v>
      </c>
    </row>
    <row r="210" spans="1:7">
      <c r="A210" s="37" t="s">
        <v>32</v>
      </c>
      <c r="B210" s="37" t="s">
        <v>0</v>
      </c>
      <c r="C210" s="37" t="s">
        <v>33</v>
      </c>
      <c r="E210" s="37" t="s">
        <v>0</v>
      </c>
      <c r="F210" s="37" t="s">
        <v>32</v>
      </c>
    </row>
    <row r="211" spans="1:7">
      <c r="A211" s="2">
        <v>101</v>
      </c>
      <c r="B211" s="2" t="s">
        <v>3</v>
      </c>
      <c r="C211" s="2" t="s">
        <v>34</v>
      </c>
      <c r="E211" s="3" t="s">
        <v>5</v>
      </c>
      <c r="F211" s="3">
        <f>_xlfn.XLOOKUP(E211,B211:B214,A211:A214)</f>
        <v>103</v>
      </c>
    </row>
    <row r="212" spans="1:7">
      <c r="A212" s="2">
        <v>102</v>
      </c>
      <c r="B212" s="2" t="s">
        <v>4</v>
      </c>
      <c r="C212" s="2" t="s">
        <v>35</v>
      </c>
      <c r="E212" s="3" t="s">
        <v>118</v>
      </c>
      <c r="F212" s="3" t="e">
        <f>VLOOKUP(E211,A211:C214,1,FALSE)</f>
        <v>#N/A</v>
      </c>
    </row>
    <row r="213" spans="1:7">
      <c r="A213" s="2">
        <v>103</v>
      </c>
      <c r="B213" s="2" t="s">
        <v>5</v>
      </c>
      <c r="C213" s="2" t="s">
        <v>36</v>
      </c>
      <c r="E213" s="3" t="s">
        <v>6</v>
      </c>
      <c r="F213" s="3" t="str">
        <f>_xlfn.XLOOKUP(E213,B211:B214,C211:C214)</f>
        <v>Finance</v>
      </c>
    </row>
    <row r="214" spans="1:7">
      <c r="A214" s="2">
        <v>104</v>
      </c>
      <c r="B214" s="2" t="s">
        <v>6</v>
      </c>
      <c r="C214" s="2" t="s">
        <v>37</v>
      </c>
      <c r="E214" s="3" t="s">
        <v>119</v>
      </c>
      <c r="F214" s="3" t="str">
        <f>_xlfn.XLOOKUP(E214,B211:B214,A211:A214,"Employee Not Found")</f>
        <v>Employee Not Found</v>
      </c>
    </row>
    <row r="217" spans="1:7">
      <c r="A217" s="38" t="s">
        <v>32</v>
      </c>
      <c r="B217" s="38" t="s">
        <v>0</v>
      </c>
      <c r="C217" s="38" t="s">
        <v>33</v>
      </c>
      <c r="D217" s="38" t="s">
        <v>46</v>
      </c>
      <c r="F217" s="38" t="s">
        <v>33</v>
      </c>
      <c r="G217" s="38" t="s">
        <v>46</v>
      </c>
    </row>
    <row r="218" spans="1:7">
      <c r="A218" s="2">
        <v>101</v>
      </c>
      <c r="B218" s="2" t="s">
        <v>3</v>
      </c>
      <c r="C218" s="2" t="s">
        <v>34</v>
      </c>
      <c r="D218" s="2">
        <v>30000</v>
      </c>
      <c r="F218" s="2" t="s">
        <v>35</v>
      </c>
      <c r="G218" s="2">
        <f>_xlfn.XLOOKUP(F218,C218:C222,D218:D222)</f>
        <v>45000</v>
      </c>
    </row>
    <row r="219" spans="1:7">
      <c r="A219" s="2">
        <v>102</v>
      </c>
      <c r="B219" s="2" t="s">
        <v>4</v>
      </c>
      <c r="C219" s="2" t="s">
        <v>35</v>
      </c>
      <c r="D219" s="2">
        <v>45000</v>
      </c>
    </row>
    <row r="220" spans="1:7">
      <c r="A220" s="2">
        <v>103</v>
      </c>
      <c r="B220" s="2" t="s">
        <v>5</v>
      </c>
      <c r="C220" s="2" t="s">
        <v>36</v>
      </c>
      <c r="D220" s="2">
        <v>40000</v>
      </c>
    </row>
    <row r="221" spans="1:7">
      <c r="A221" s="2">
        <v>104</v>
      </c>
      <c r="B221" s="2" t="s">
        <v>6</v>
      </c>
      <c r="C221" s="2" t="s">
        <v>37</v>
      </c>
      <c r="D221" s="2">
        <v>50000</v>
      </c>
    </row>
    <row r="222" spans="1:7">
      <c r="A222" s="2">
        <v>105</v>
      </c>
      <c r="B222" s="2" t="s">
        <v>119</v>
      </c>
      <c r="C222" s="2" t="s">
        <v>35</v>
      </c>
      <c r="D222" s="2">
        <v>55000</v>
      </c>
    </row>
    <row r="224" spans="1:7">
      <c r="C224" s="31" t="s">
        <v>127</v>
      </c>
    </row>
    <row r="226" spans="1:5">
      <c r="A226" s="19" t="s">
        <v>120</v>
      </c>
      <c r="B226" s="19" t="s">
        <v>121</v>
      </c>
      <c r="D226" s="39" t="s">
        <v>125</v>
      </c>
      <c r="E226" s="39" t="s">
        <v>126</v>
      </c>
    </row>
    <row r="227" spans="1:5">
      <c r="A227" s="2">
        <v>40</v>
      </c>
      <c r="B227" s="2" t="s">
        <v>122</v>
      </c>
      <c r="D227" s="2">
        <v>80</v>
      </c>
      <c r="E227" s="2" t="str">
        <f>_xlfn.XLOOKUP(D227,A227:A230,B227:B230,"Not Found",-1)</f>
        <v>First</v>
      </c>
    </row>
    <row r="228" spans="1:5">
      <c r="A228" s="2">
        <v>60</v>
      </c>
      <c r="B228" s="2" t="s">
        <v>123</v>
      </c>
      <c r="D228" s="2"/>
      <c r="E228" s="2" t="str">
        <f>_xlfn.XLOOKUP(D227,A227:A230,B227:B230,"not found",1)</f>
        <v>Distinction</v>
      </c>
    </row>
    <row r="229" spans="1:5">
      <c r="A229" s="2">
        <v>75</v>
      </c>
      <c r="B229" s="2" t="s">
        <v>99</v>
      </c>
      <c r="D229" s="2"/>
      <c r="E229" s="2" t="str">
        <f>_xlfn.XLOOKUP("Pri*",B218:B222,C218:C222,"not found",2)</f>
        <v>Finance</v>
      </c>
    </row>
    <row r="230" spans="1:5">
      <c r="A230" s="2">
        <v>90</v>
      </c>
      <c r="B230" s="2" t="s">
        <v>124</v>
      </c>
      <c r="D230" s="2"/>
      <c r="E230" s="2" t="str">
        <f>_xlfn.XLOOKUP(D227,A227:A230,B227:B230,"not found",0)</f>
        <v>not found</v>
      </c>
    </row>
    <row r="232" spans="1:5">
      <c r="C232" s="31" t="s">
        <v>128</v>
      </c>
    </row>
    <row r="234" spans="1:5">
      <c r="A234" s="19" t="s">
        <v>129</v>
      </c>
      <c r="B234" s="19" t="s">
        <v>130</v>
      </c>
      <c r="D234" s="19" t="s">
        <v>129</v>
      </c>
      <c r="E234" s="19" t="s">
        <v>130</v>
      </c>
    </row>
    <row r="235" spans="1:5">
      <c r="A235" s="2" t="s">
        <v>15</v>
      </c>
      <c r="B235" s="2">
        <v>50000</v>
      </c>
      <c r="D235" s="2" t="s">
        <v>15</v>
      </c>
      <c r="E235" s="2">
        <f>_xlfn.XLOOKUP(D235,A235:A239,B235:B239,"not found",0,1)</f>
        <v>50000</v>
      </c>
    </row>
    <row r="236" spans="1:5">
      <c r="A236" s="2" t="s">
        <v>16</v>
      </c>
      <c r="B236" s="2">
        <v>800</v>
      </c>
      <c r="D236" s="2"/>
      <c r="E236" s="2">
        <f>_xlfn.XLOOKUP(D235,A235:A239,B235:B239,"not found",0,-1)</f>
        <v>60000</v>
      </c>
    </row>
    <row r="237" spans="1:5">
      <c r="A237" s="2" t="s">
        <v>15</v>
      </c>
      <c r="B237" s="2">
        <v>55000</v>
      </c>
    </row>
    <row r="238" spans="1:5">
      <c r="A238" s="2" t="s">
        <v>40</v>
      </c>
      <c r="B238" s="2">
        <v>1200</v>
      </c>
    </row>
    <row r="239" spans="1:5">
      <c r="A239" s="2" t="s">
        <v>15</v>
      </c>
      <c r="B239" s="2">
        <v>60000</v>
      </c>
    </row>
    <row r="242" spans="1:9">
      <c r="C242" s="31" t="s">
        <v>131</v>
      </c>
    </row>
    <row r="244" spans="1:9">
      <c r="A244" s="19" t="s">
        <v>39</v>
      </c>
      <c r="B244" s="19" t="s">
        <v>11</v>
      </c>
      <c r="C244" s="19" t="s">
        <v>12</v>
      </c>
      <c r="E244" s="19" t="s">
        <v>11</v>
      </c>
      <c r="F244" s="19" t="s">
        <v>12</v>
      </c>
    </row>
    <row r="245" spans="1:9">
      <c r="A245" s="2">
        <v>501</v>
      </c>
      <c r="B245" s="2" t="s">
        <v>15</v>
      </c>
      <c r="C245" s="2">
        <v>55000</v>
      </c>
      <c r="E245" s="2" t="s">
        <v>40</v>
      </c>
      <c r="F245" s="2">
        <f>MATCH(E245,B245:B248,0)</f>
        <v>3</v>
      </c>
    </row>
    <row r="246" spans="1:9">
      <c r="A246" s="2">
        <v>502</v>
      </c>
      <c r="B246" s="2" t="s">
        <v>16</v>
      </c>
      <c r="C246" s="2">
        <v>500</v>
      </c>
      <c r="E246" s="2"/>
      <c r="F246" s="2">
        <f>INDEX(C245:C248,3)</f>
        <v>1200</v>
      </c>
    </row>
    <row r="247" spans="1:9">
      <c r="A247" s="2">
        <v>503</v>
      </c>
      <c r="B247" s="2" t="s">
        <v>40</v>
      </c>
      <c r="C247" s="2">
        <v>1200</v>
      </c>
      <c r="E247" s="2"/>
      <c r="F247" s="2">
        <f>INDEX(C245:C248,MATCH(E245,B245:B248,0))</f>
        <v>1200</v>
      </c>
    </row>
    <row r="248" spans="1:9">
      <c r="A248" s="2">
        <v>504</v>
      </c>
      <c r="B248" s="2" t="s">
        <v>41</v>
      </c>
      <c r="C248" s="2">
        <v>1500</v>
      </c>
    </row>
    <row r="251" spans="1:9">
      <c r="D251" s="31" t="s">
        <v>132</v>
      </c>
    </row>
    <row r="253" spans="1:9">
      <c r="A253" s="40" t="s">
        <v>39</v>
      </c>
      <c r="B253" s="2">
        <v>501</v>
      </c>
      <c r="C253" s="2">
        <v>502</v>
      </c>
      <c r="D253" s="2">
        <v>503</v>
      </c>
      <c r="E253" s="2">
        <v>504</v>
      </c>
      <c r="G253" s="40" t="s">
        <v>39</v>
      </c>
      <c r="H253" s="2">
        <v>503</v>
      </c>
      <c r="I253" s="2">
        <v>504</v>
      </c>
    </row>
    <row r="254" spans="1:9">
      <c r="A254" s="40" t="s">
        <v>133</v>
      </c>
      <c r="B254" s="2" t="s">
        <v>15</v>
      </c>
      <c r="C254" s="2" t="s">
        <v>16</v>
      </c>
      <c r="D254" s="2" t="s">
        <v>40</v>
      </c>
      <c r="E254" s="2" t="s">
        <v>41</v>
      </c>
      <c r="G254" s="40" t="s">
        <v>25</v>
      </c>
      <c r="H254" s="3" t="str">
        <f>HLOOKUP(503,B253:E255,2,FALSE)</f>
        <v>Keyboard</v>
      </c>
      <c r="I254" s="3">
        <f>HLOOKUP(I253,B253:E255,3,FALSE)</f>
        <v>1500</v>
      </c>
    </row>
    <row r="255" spans="1:9">
      <c r="A255" s="40" t="s">
        <v>12</v>
      </c>
      <c r="B255" s="2">
        <v>55000</v>
      </c>
      <c r="C255" s="2">
        <v>500</v>
      </c>
      <c r="D255" s="2">
        <v>1200</v>
      </c>
      <c r="E255" s="2">
        <v>1500</v>
      </c>
    </row>
    <row r="257" spans="1:5">
      <c r="C257" s="31" t="s">
        <v>134</v>
      </c>
    </row>
    <row r="259" spans="1:5">
      <c r="A259" s="41" t="s">
        <v>24</v>
      </c>
      <c r="B259" s="41" t="s">
        <v>28</v>
      </c>
      <c r="D259" s="42" t="s">
        <v>24</v>
      </c>
      <c r="E259" s="42" t="s">
        <v>28</v>
      </c>
    </row>
    <row r="260" spans="1:5">
      <c r="A260" s="2">
        <v>90</v>
      </c>
      <c r="B260" s="2" t="str">
        <f>IF(A260&gt;=90,"A",IF(A260&gt;=75,"B",IF(A260&gt;=60,"C",IF(A260&gt;=40,"Pass","Fail"))))</f>
        <v>A</v>
      </c>
      <c r="D260" s="43">
        <v>95</v>
      </c>
      <c r="E260" s="43" t="str">
        <f>IF(D260&gt;=90,"A",IF(D260&gt;=75,"B",IF(D260&gt;=60,"C",IF(D260&gt;=40,"Pass","Fail"))))</f>
        <v>A</v>
      </c>
    </row>
    <row r="261" spans="1:5">
      <c r="A261" s="2">
        <v>75</v>
      </c>
      <c r="B261" s="2" t="str">
        <f>IF(A261&gt;=90,"A",IF(A261&gt;=75,"B",IF(A261&gt;=60,"C",IF(A261&gt;=40,"Pass","Fail"))))</f>
        <v>B</v>
      </c>
      <c r="D261" s="43">
        <v>78</v>
      </c>
      <c r="E261" s="43" t="str">
        <f>IF(D261&gt;=90,"A",IF(D261&gt;=75,"B",IF(D261&gt;=60,"C",IF(D261&gt;=40,"Pass","Fail"))))</f>
        <v>B</v>
      </c>
    </row>
    <row r="262" spans="1:5">
      <c r="A262" s="2">
        <v>60</v>
      </c>
      <c r="B262" s="2" t="str">
        <f t="shared" ref="B262:B264" si="14">IF(A262&gt;=90,"A",IF(A262&gt;=75,"B",IF(A262&gt;=60,"C",IF(A262&gt;=40,"Pass","Fail"))))</f>
        <v>C</v>
      </c>
      <c r="D262" s="43">
        <v>61</v>
      </c>
      <c r="E262" s="43" t="str">
        <f t="shared" ref="E262:E264" si="15">IF(D262&gt;=90,"A",IF(D262&gt;=75,"B",IF(D262&gt;=60,"C",IF(D262&gt;=40,"Pass","Fail"))))</f>
        <v>C</v>
      </c>
    </row>
    <row r="263" spans="1:5">
      <c r="A263" s="2">
        <v>40</v>
      </c>
      <c r="B263" s="2" t="str">
        <f t="shared" si="14"/>
        <v>Pass</v>
      </c>
      <c r="D263" s="43">
        <v>43</v>
      </c>
      <c r="E263" s="43" t="str">
        <f t="shared" si="15"/>
        <v>Pass</v>
      </c>
    </row>
    <row r="264" spans="1:5">
      <c r="A264" s="2">
        <v>22</v>
      </c>
      <c r="B264" s="2" t="str">
        <f t="shared" si="14"/>
        <v>Fail</v>
      </c>
      <c r="D264" s="44">
        <v>25</v>
      </c>
      <c r="E264" s="44" t="str">
        <f t="shared" si="15"/>
        <v>Fail</v>
      </c>
    </row>
    <row r="266" spans="1:5">
      <c r="C266" s="31" t="s">
        <v>136</v>
      </c>
    </row>
    <row r="269" spans="1:5">
      <c r="A269" s="41" t="s">
        <v>24</v>
      </c>
      <c r="B269" s="41" t="s">
        <v>135</v>
      </c>
      <c r="C269" s="41" t="s">
        <v>136</v>
      </c>
    </row>
    <row r="270" spans="1:5">
      <c r="A270" s="2">
        <v>85</v>
      </c>
      <c r="B270" s="2">
        <v>90</v>
      </c>
      <c r="C270" s="3" t="b">
        <f>AND(A270&gt;=40,B270&gt;=75)</f>
        <v>1</v>
      </c>
    </row>
    <row r="271" spans="1:5">
      <c r="A271" s="2">
        <v>50</v>
      </c>
      <c r="B271" s="2">
        <v>60</v>
      </c>
      <c r="C271" s="3" t="b">
        <f>AND(A271&gt;=40,B271&gt;=75)</f>
        <v>0</v>
      </c>
    </row>
    <row r="272" spans="1:5">
      <c r="A272" s="2">
        <v>35</v>
      </c>
      <c r="B272" s="2">
        <v>80</v>
      </c>
      <c r="C272" s="3" t="b">
        <f>AND(A272&gt;=40,B272&gt;=75)</f>
        <v>0</v>
      </c>
    </row>
    <row r="273" spans="1:5">
      <c r="A273" s="2">
        <v>70</v>
      </c>
      <c r="B273" s="2">
        <v>75</v>
      </c>
      <c r="C273" s="3" t="b">
        <f t="shared" ref="C273" si="16">AND(A273&gt;=40,B273&gt;=75)</f>
        <v>1</v>
      </c>
    </row>
    <row r="275" spans="1:5">
      <c r="D275" s="31" t="s">
        <v>137</v>
      </c>
    </row>
    <row r="278" spans="1:5">
      <c r="A278" s="45" t="s">
        <v>24</v>
      </c>
      <c r="B278" s="45" t="s">
        <v>135</v>
      </c>
      <c r="C278" s="45" t="s">
        <v>137</v>
      </c>
    </row>
    <row r="279" spans="1:5">
      <c r="A279" s="2">
        <v>35</v>
      </c>
      <c r="B279" s="2">
        <v>90</v>
      </c>
      <c r="C279" s="3" t="b">
        <f>OR(A279&gt;=40,B279&gt;=75)</f>
        <v>1</v>
      </c>
    </row>
    <row r="280" spans="1:5">
      <c r="A280" s="2">
        <v>50</v>
      </c>
      <c r="B280" s="2">
        <v>60</v>
      </c>
      <c r="C280" s="3" t="b">
        <f>OR(A280&gt;=40,B280&gt;=75)</f>
        <v>1</v>
      </c>
    </row>
    <row r="281" spans="1:5">
      <c r="A281" s="2">
        <v>80</v>
      </c>
      <c r="B281" s="2">
        <v>90</v>
      </c>
      <c r="C281" s="3" t="b">
        <f t="shared" ref="C281:C282" si="17">OR(A281&gt;=40,B281&gt;=75)</f>
        <v>1</v>
      </c>
    </row>
    <row r="282" spans="1:5">
      <c r="A282" s="2">
        <v>30</v>
      </c>
      <c r="B282" s="2">
        <v>50</v>
      </c>
      <c r="C282" s="3" t="b">
        <f t="shared" si="17"/>
        <v>0</v>
      </c>
    </row>
    <row r="284" spans="1:5">
      <c r="D284" s="31" t="s">
        <v>139</v>
      </c>
    </row>
    <row r="286" spans="1:5">
      <c r="A286" s="45" t="s">
        <v>46</v>
      </c>
      <c r="B286" s="45" t="s">
        <v>138</v>
      </c>
      <c r="C286" s="45" t="s">
        <v>25</v>
      </c>
      <c r="E286" t="s">
        <v>140</v>
      </c>
    </row>
    <row r="287" spans="1:5">
      <c r="A287" s="2">
        <v>45000</v>
      </c>
      <c r="B287" s="2">
        <v>3</v>
      </c>
      <c r="C287" s="2" t="str">
        <f>IF(AND(A287&gt;=30000,B287&gt;=2),"Eligible","Not Eligible")</f>
        <v>Eligible</v>
      </c>
      <c r="E287" t="s">
        <v>141</v>
      </c>
    </row>
    <row r="288" spans="1:5">
      <c r="A288" s="2">
        <v>25000</v>
      </c>
      <c r="B288" s="2">
        <v>5</v>
      </c>
      <c r="C288" s="2" t="str">
        <f>IF(AND(A288&gt;=30000,B288&gt;=2),"Eligible","Not Eligible")</f>
        <v>Not Eligible</v>
      </c>
    </row>
    <row r="289" spans="1:7">
      <c r="A289" s="2">
        <v>50000</v>
      </c>
      <c r="B289" s="2">
        <v>1</v>
      </c>
      <c r="C289" s="2" t="str">
        <f>IF(AND(A289&gt;=30000,B289&gt;=2),"Eligible","Not Eligible")</f>
        <v>Not Eligible</v>
      </c>
    </row>
    <row r="290" spans="1:7">
      <c r="A290" s="2">
        <v>35000</v>
      </c>
      <c r="B290" s="2">
        <v>2</v>
      </c>
      <c r="C290" s="2" t="str">
        <f>IF(AND(A290&gt;=30000,B290&gt;=2),"Eligible","Not Eligible")</f>
        <v>Eligible</v>
      </c>
    </row>
    <row r="292" spans="1:7">
      <c r="D292" s="31" t="s">
        <v>142</v>
      </c>
    </row>
    <row r="294" spans="1:7">
      <c r="A294" s="45" t="s">
        <v>46</v>
      </c>
      <c r="B294" s="45" t="s">
        <v>143</v>
      </c>
      <c r="C294" s="45" t="s">
        <v>25</v>
      </c>
      <c r="E294" t="s">
        <v>144</v>
      </c>
      <c r="F294" s="31" t="s">
        <v>147</v>
      </c>
      <c r="G294" t="s">
        <v>146</v>
      </c>
    </row>
    <row r="295" spans="1:7">
      <c r="A295" s="2">
        <v>45000</v>
      </c>
      <c r="B295" s="2">
        <v>780</v>
      </c>
      <c r="C295" s="2" t="str">
        <f>IF(OR(A295&gt;=50000,B295&gt;=750),"Loan Approved","Loan Rejected")</f>
        <v>Loan Approved</v>
      </c>
      <c r="E295" t="s">
        <v>145</v>
      </c>
    </row>
    <row r="296" spans="1:7">
      <c r="A296" s="2">
        <v>55000</v>
      </c>
      <c r="B296" s="2">
        <v>650</v>
      </c>
      <c r="C296" s="2" t="str">
        <f>IF(OR(A296&gt;=50000,B296&gt;=750),"Loan Approved","Loan Rejected")</f>
        <v>Loan Approved</v>
      </c>
    </row>
    <row r="297" spans="1:7">
      <c r="A297" s="2">
        <v>30000</v>
      </c>
      <c r="B297" s="2">
        <v>700</v>
      </c>
      <c r="C297" s="2" t="str">
        <f>IF(OR(A297&gt;=50000,B297&gt;=750),"Loan Approved","Loan Rejected")</f>
        <v>Loan Rejected</v>
      </c>
    </row>
    <row r="298" spans="1:7">
      <c r="A298" s="2">
        <v>60000</v>
      </c>
      <c r="B298" s="2">
        <v>800</v>
      </c>
      <c r="C298" s="2" t="str">
        <f>IF(OR(A298&gt;=50000,B298&gt;=750),"Loan Approved","Loan Rejected")</f>
        <v>Loan Approved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A0CD-1017-40EA-8548-E2F73E94EAC1}">
  <dimension ref="A2:U290"/>
  <sheetViews>
    <sheetView zoomScale="110" zoomScaleNormal="110" workbookViewId="0">
      <selection activeCell="F86" sqref="F86"/>
    </sheetView>
  </sheetViews>
  <sheetFormatPr defaultRowHeight="15"/>
  <cols>
    <col min="1" max="1" width="20.140625" customWidth="1"/>
    <col min="2" max="2" width="17.42578125" customWidth="1"/>
    <col min="3" max="3" width="21.140625" customWidth="1"/>
    <col min="4" max="4" width="20.140625" customWidth="1"/>
    <col min="5" max="5" width="17.7109375" customWidth="1"/>
    <col min="6" max="6" width="24.42578125" customWidth="1"/>
    <col min="7" max="7" width="21.7109375" customWidth="1"/>
    <col min="8" max="8" width="16.5703125" customWidth="1"/>
    <col min="9" max="9" width="24.7109375" customWidth="1"/>
    <col min="10" max="10" width="21.7109375" customWidth="1"/>
    <col min="11" max="11" width="20.140625" customWidth="1"/>
    <col min="12" max="12" width="30.28515625" customWidth="1"/>
    <col min="13" max="13" width="30.140625" customWidth="1"/>
    <col min="14" max="14" width="30" customWidth="1"/>
    <col min="15" max="15" width="32" customWidth="1"/>
    <col min="16" max="17" width="30.42578125" customWidth="1"/>
    <col min="18" max="18" width="22.85546875" customWidth="1"/>
    <col min="19" max="19" width="20.42578125" customWidth="1"/>
    <col min="20" max="20" width="26" customWidth="1"/>
    <col min="21" max="21" width="18.42578125" customWidth="1"/>
    <col min="22" max="22" width="22.5703125" customWidth="1"/>
  </cols>
  <sheetData>
    <row r="2" spans="1:14">
      <c r="B2" s="48" t="s">
        <v>177</v>
      </c>
      <c r="C2" s="49"/>
    </row>
    <row r="5" spans="1:14" ht="15.75">
      <c r="A5" s="47" t="s">
        <v>148</v>
      </c>
      <c r="B5" s="46" t="s">
        <v>149</v>
      </c>
      <c r="C5" s="47"/>
      <c r="D5" s="47"/>
      <c r="E5" s="47"/>
    </row>
    <row r="7" spans="1:14">
      <c r="A7" s="13" t="s">
        <v>32</v>
      </c>
      <c r="B7" s="13" t="s">
        <v>65</v>
      </c>
      <c r="C7" s="13" t="s">
        <v>66</v>
      </c>
      <c r="D7" s="13" t="s">
        <v>33</v>
      </c>
      <c r="E7" s="13" t="s">
        <v>2</v>
      </c>
      <c r="F7" s="13" t="s">
        <v>71</v>
      </c>
      <c r="G7" s="13" t="s">
        <v>163</v>
      </c>
      <c r="H7" s="13" t="s">
        <v>164</v>
      </c>
      <c r="I7" s="13"/>
      <c r="J7" s="13" t="s">
        <v>165</v>
      </c>
      <c r="K7" s="13" t="s">
        <v>166</v>
      </c>
      <c r="L7" s="13" t="s">
        <v>169</v>
      </c>
      <c r="M7" s="13" t="s">
        <v>167</v>
      </c>
      <c r="N7" s="13" t="s">
        <v>168</v>
      </c>
    </row>
    <row r="8" spans="1:14">
      <c r="A8" s="2">
        <v>101</v>
      </c>
      <c r="B8" s="2" t="s">
        <v>3</v>
      </c>
      <c r="C8" s="2" t="s">
        <v>68</v>
      </c>
      <c r="D8" s="2" t="s">
        <v>36</v>
      </c>
      <c r="E8" s="2" t="s">
        <v>9</v>
      </c>
      <c r="F8" s="2" t="str">
        <f>_xlfn.CONCAT(B8," ",C8)</f>
        <v>Amit Kumar</v>
      </c>
      <c r="G8" s="2" t="str">
        <f>_xlfn.CONCAT(A8," - ",F8)</f>
        <v>101 - Amit Kumar</v>
      </c>
      <c r="H8" s="2" t="str">
        <f t="shared" ref="H8:H15" si="0">_xlfn.CONCAT(B8," - ",D8)</f>
        <v>Amit - Sales</v>
      </c>
      <c r="I8" s="2"/>
      <c r="J8" s="2" t="str">
        <f t="shared" ref="J8:J15" si="1">_xlfn.CONCAT(F8," - ",E8)</f>
        <v>Amit Kumar - Ranchi</v>
      </c>
      <c r="K8" s="2" t="str">
        <f t="shared" ref="K8:K14" si="2">_xlfn.CONCAT(A8," | ",F8," | ",D8," | ",E8)</f>
        <v>101 | Amit Kumar | Sales | Ranchi</v>
      </c>
      <c r="L8" s="2" t="str">
        <f>_xlfn.CONCAT("Employee: ",F8," | ","Department: ",D8)</f>
        <v>Employee: Amit Kumar | Department: Sales</v>
      </c>
      <c r="M8" s="2" t="str">
        <f t="shared" ref="M8:M15" si="3">LOWER(_xlfn.CONCAT(B8,".",C8,"@company.com"))</f>
        <v>amit.kumar@company.com</v>
      </c>
      <c r="N8" s="2" t="str">
        <f t="shared" ref="N8:N15" si="4">_xlfn.CONCAT(F8," works in ",D8," department and lives in ",E8,".")</f>
        <v>Amit Kumar works in Sales department and lives in Ranchi.</v>
      </c>
    </row>
    <row r="9" spans="1:14">
      <c r="A9" s="2">
        <v>102</v>
      </c>
      <c r="B9" s="2" t="s">
        <v>5</v>
      </c>
      <c r="C9" s="2" t="s">
        <v>102</v>
      </c>
      <c r="D9" s="2" t="s">
        <v>37</v>
      </c>
      <c r="E9" s="2" t="s">
        <v>7</v>
      </c>
      <c r="F9" s="2" t="str">
        <f>_xlfn.CONCAT(B9," ",C9)</f>
        <v>Rahul Singh</v>
      </c>
      <c r="G9" s="2" t="str">
        <f>_xlfn.CONCAT(A9," - ",F9)</f>
        <v>102 - Rahul Singh</v>
      </c>
      <c r="H9" s="2" t="str">
        <f t="shared" si="0"/>
        <v>Rahul - Finance</v>
      </c>
      <c r="I9" s="2"/>
      <c r="J9" s="2" t="str">
        <f t="shared" si="1"/>
        <v>Rahul Singh - Delhi</v>
      </c>
      <c r="K9" s="2" t="str">
        <f t="shared" si="2"/>
        <v>102 | Rahul Singh | Finance | Delhi</v>
      </c>
      <c r="L9" s="2" t="str">
        <f>_xlfn.CONCAT("Employee: ",F9," | ","Department: ",D9)</f>
        <v>Employee: Rahul Singh | Department: Finance</v>
      </c>
      <c r="M9" s="2" t="str">
        <f t="shared" si="3"/>
        <v>rahul.singh@company.com</v>
      </c>
      <c r="N9" s="2" t="str">
        <f t="shared" si="4"/>
        <v>Rahul Singh works in Finance department and lives in Delhi.</v>
      </c>
    </row>
    <row r="10" spans="1:14">
      <c r="A10" s="2">
        <v>103</v>
      </c>
      <c r="B10" s="2" t="s">
        <v>6</v>
      </c>
      <c r="C10" s="2" t="s">
        <v>97</v>
      </c>
      <c r="D10" s="2" t="s">
        <v>34</v>
      </c>
      <c r="E10" s="2" t="s">
        <v>8</v>
      </c>
      <c r="F10" s="2" t="str">
        <f>_xlfn.CONCAT(B10," ",C10)</f>
        <v>Priya Sharma</v>
      </c>
      <c r="G10" s="2" t="str">
        <f>_xlfn.CONCAT(A10," - ",F10)</f>
        <v>103 - Priya Sharma</v>
      </c>
      <c r="H10" s="2" t="str">
        <f t="shared" si="0"/>
        <v>Priya - HR</v>
      </c>
      <c r="I10" s="2"/>
      <c r="J10" s="2" t="str">
        <f t="shared" si="1"/>
        <v>Priya Sharma - Mumbai</v>
      </c>
      <c r="K10" s="2" t="str">
        <f t="shared" si="2"/>
        <v>103 | Priya Sharma | HR | Mumbai</v>
      </c>
      <c r="L10" s="2" t="str">
        <f>_xlfn.CONCAT("Employee: ",F10," | ","Department: ",D10)</f>
        <v>Employee: Priya Sharma | Department: HR</v>
      </c>
      <c r="M10" s="2" t="str">
        <f t="shared" si="3"/>
        <v>priya.sharma@company.com</v>
      </c>
      <c r="N10" s="2" t="str">
        <f t="shared" si="4"/>
        <v>Priya Sharma works in HR department and lives in Mumbai.</v>
      </c>
    </row>
    <row r="11" spans="1:14">
      <c r="A11" s="2">
        <v>104</v>
      </c>
      <c r="B11" s="2" t="s">
        <v>150</v>
      </c>
      <c r="C11" s="2" t="s">
        <v>69</v>
      </c>
      <c r="D11" s="2" t="s">
        <v>35</v>
      </c>
      <c r="E11" s="2" t="s">
        <v>159</v>
      </c>
      <c r="F11" s="2" t="str">
        <f>_xlfn.CONCAT(B11," ",C11)</f>
        <v>Kunal Verma</v>
      </c>
      <c r="G11" s="2" t="str">
        <f>_xlfn.CONCAT(A11," - ",F11)</f>
        <v>104 - Kunal Verma</v>
      </c>
      <c r="H11" s="2" t="str">
        <f t="shared" si="0"/>
        <v>Kunal - IT</v>
      </c>
      <c r="I11" s="2"/>
      <c r="J11" s="2" t="str">
        <f t="shared" si="1"/>
        <v>Kunal Verma - Pune</v>
      </c>
      <c r="K11" s="2" t="str">
        <f t="shared" si="2"/>
        <v>104 | Kunal Verma | IT | Pune</v>
      </c>
      <c r="L11" s="2" t="str">
        <f>_xlfn.CONCAT("Employee: ",F11," | ","Department: ",D11)</f>
        <v>Employee: Kunal Verma | Department: IT</v>
      </c>
      <c r="M11" s="2" t="str">
        <f t="shared" si="3"/>
        <v>kunal.verma@company.com</v>
      </c>
      <c r="N11" s="2" t="str">
        <f t="shared" si="4"/>
        <v>Kunal Verma works in IT department and lives in Pune.</v>
      </c>
    </row>
    <row r="12" spans="1:14">
      <c r="A12" s="2">
        <v>105</v>
      </c>
      <c r="B12" s="2" t="s">
        <v>151</v>
      </c>
      <c r="C12" s="2" t="s">
        <v>154</v>
      </c>
      <c r="D12" s="2" t="s">
        <v>158</v>
      </c>
      <c r="E12" s="2" t="s">
        <v>10</v>
      </c>
      <c r="F12" s="2" t="str">
        <f t="shared" ref="F12:F15" si="5">_xlfn.CONCAT(B12," ",C12)</f>
        <v>Sneha Gupta</v>
      </c>
      <c r="G12" s="2" t="str">
        <f t="shared" ref="G12:G15" si="6">_xlfn.CONCAT(A12," - ",F12)</f>
        <v>105 - Sneha Gupta</v>
      </c>
      <c r="H12" s="2" t="str">
        <f t="shared" si="0"/>
        <v>Sneha - Marketing</v>
      </c>
      <c r="I12" s="2"/>
      <c r="J12" s="2" t="str">
        <f t="shared" si="1"/>
        <v>Sneha Gupta - Kolkata</v>
      </c>
      <c r="K12" s="2" t="str">
        <f t="shared" si="2"/>
        <v>105 | Sneha Gupta | Marketing | Kolkata</v>
      </c>
      <c r="L12" s="2" t="str">
        <f t="shared" ref="L12:L15" si="7">_xlfn.CONCAT("Employee: ",F12," | ","Department: ",D12)</f>
        <v>Employee: Sneha Gupta | Department: Marketing</v>
      </c>
      <c r="M12" s="2" t="str">
        <f t="shared" si="3"/>
        <v>sneha.gupta@company.com</v>
      </c>
      <c r="N12" s="2" t="str">
        <f t="shared" si="4"/>
        <v>Sneha Gupta works in Marketing department and lives in Kolkata.</v>
      </c>
    </row>
    <row r="13" spans="1:14">
      <c r="A13" s="2">
        <v>106</v>
      </c>
      <c r="B13" s="2" t="s">
        <v>152</v>
      </c>
      <c r="C13" s="2" t="s">
        <v>155</v>
      </c>
      <c r="D13" s="2" t="s">
        <v>36</v>
      </c>
      <c r="E13" s="2" t="s">
        <v>160</v>
      </c>
      <c r="F13" s="2" t="str">
        <f t="shared" si="5"/>
        <v>Ravi Das</v>
      </c>
      <c r="G13" s="2" t="str">
        <f t="shared" si="6"/>
        <v>106 - Ravi Das</v>
      </c>
      <c r="H13" s="2" t="str">
        <f t="shared" si="0"/>
        <v>Ravi - Sales</v>
      </c>
      <c r="I13" s="2"/>
      <c r="J13" s="2" t="str">
        <f t="shared" si="1"/>
        <v>Ravi Das - Jamshedpur</v>
      </c>
      <c r="K13" s="2" t="str">
        <f t="shared" si="2"/>
        <v>106 | Ravi Das | Sales | Jamshedpur</v>
      </c>
      <c r="L13" s="2" t="str">
        <f t="shared" si="7"/>
        <v>Employee: Ravi Das | Department: Sales</v>
      </c>
      <c r="M13" s="2" t="str">
        <f t="shared" si="3"/>
        <v>ravi.das@company.com</v>
      </c>
      <c r="N13" s="2" t="str">
        <f t="shared" si="4"/>
        <v>Ravi Das works in Sales department and lives in Jamshedpur.</v>
      </c>
    </row>
    <row r="14" spans="1:14">
      <c r="A14" s="2">
        <v>107</v>
      </c>
      <c r="B14" s="2" t="s">
        <v>4</v>
      </c>
      <c r="C14" s="2" t="s">
        <v>156</v>
      </c>
      <c r="D14" s="2" t="s">
        <v>34</v>
      </c>
      <c r="E14" s="2" t="s">
        <v>161</v>
      </c>
      <c r="F14" s="2" t="str">
        <f t="shared" si="5"/>
        <v>Neha Roy</v>
      </c>
      <c r="G14" s="2" t="str">
        <f t="shared" si="6"/>
        <v>107 - Neha Roy</v>
      </c>
      <c r="H14" s="2" t="str">
        <f t="shared" si="0"/>
        <v>Neha - HR</v>
      </c>
      <c r="I14" s="2"/>
      <c r="J14" s="2" t="str">
        <f t="shared" si="1"/>
        <v>Neha Roy - Patna</v>
      </c>
      <c r="K14" s="2" t="str">
        <f t="shared" si="2"/>
        <v>107 | Neha Roy | HR | Patna</v>
      </c>
      <c r="L14" s="2" t="str">
        <f t="shared" si="7"/>
        <v>Employee: Neha Roy | Department: HR</v>
      </c>
      <c r="M14" s="2" t="str">
        <f t="shared" si="3"/>
        <v>neha.roy@company.com</v>
      </c>
      <c r="N14" s="2" t="str">
        <f t="shared" si="4"/>
        <v>Neha Roy works in HR department and lives in Patna.</v>
      </c>
    </row>
    <row r="15" spans="1:14">
      <c r="A15" s="2">
        <v>108</v>
      </c>
      <c r="B15" s="2" t="s">
        <v>153</v>
      </c>
      <c r="C15" s="2" t="s">
        <v>157</v>
      </c>
      <c r="D15" s="2" t="s">
        <v>35</v>
      </c>
      <c r="E15" s="2" t="s">
        <v>162</v>
      </c>
      <c r="F15" s="2" t="str">
        <f t="shared" si="5"/>
        <v>Arjun Mehta</v>
      </c>
      <c r="G15" s="2" t="str">
        <f t="shared" si="6"/>
        <v>108 - Arjun Mehta</v>
      </c>
      <c r="H15" s="2" t="str">
        <f t="shared" si="0"/>
        <v>Arjun - IT</v>
      </c>
      <c r="I15" s="2"/>
      <c r="J15" s="2" t="str">
        <f t="shared" si="1"/>
        <v>Arjun Mehta - Bangalore</v>
      </c>
      <c r="K15" s="2" t="str">
        <f>_xlfn.CONCAT(A15, " | ",F15," | ",D15," | ",E15)</f>
        <v>108 | Arjun Mehta | IT | Bangalore</v>
      </c>
      <c r="L15" s="2" t="str">
        <f t="shared" si="7"/>
        <v>Employee: Arjun Mehta | Department: IT</v>
      </c>
      <c r="M15" s="2" t="str">
        <f t="shared" si="3"/>
        <v>arjun.mehta@company.com</v>
      </c>
      <c r="N15" s="2" t="str">
        <f t="shared" si="4"/>
        <v>Arjun Mehta works in IT department and lives in Bangalore.</v>
      </c>
    </row>
    <row r="17" spans="1:21">
      <c r="A17" s="13" t="s">
        <v>170</v>
      </c>
      <c r="B17" s="13" t="s">
        <v>0</v>
      </c>
    </row>
    <row r="18" spans="1:21">
      <c r="A18" s="2">
        <v>101</v>
      </c>
      <c r="B18" s="2" t="s">
        <v>171</v>
      </c>
      <c r="D18" s="50" t="s">
        <v>176</v>
      </c>
    </row>
    <row r="19" spans="1:21">
      <c r="A19" s="2">
        <v>102</v>
      </c>
      <c r="B19" s="2" t="s">
        <v>172</v>
      </c>
    </row>
    <row r="20" spans="1:21">
      <c r="A20" s="2">
        <v>103</v>
      </c>
      <c r="B20" s="2" t="s">
        <v>173</v>
      </c>
      <c r="D20" t="str">
        <f>_xlfn.CONCAT(B18:B22)</f>
        <v>UjjawalPranavGourabGovindShivam</v>
      </c>
    </row>
    <row r="21" spans="1:21">
      <c r="A21" s="2">
        <v>104</v>
      </c>
      <c r="B21" s="2" t="s">
        <v>174</v>
      </c>
      <c r="D21" t="str">
        <f>_xlfn.CONCAT(" ",B18:B22)</f>
        <v xml:space="preserve"> UjjawalPranavGourabGovindShivam</v>
      </c>
    </row>
    <row r="22" spans="1:21">
      <c r="A22" s="2">
        <v>105</v>
      </c>
      <c r="B22" s="2" t="s">
        <v>175</v>
      </c>
      <c r="D22" t="str">
        <f>_xlfn.CONCAT(B18:B22," ")</f>
        <v xml:space="preserve">UjjawalPranavGourabGovindShivam </v>
      </c>
    </row>
    <row r="26" spans="1:21">
      <c r="B26" s="51" t="s">
        <v>178</v>
      </c>
      <c r="C26" s="51"/>
      <c r="K26" s="43"/>
      <c r="L26" t="s">
        <v>192</v>
      </c>
      <c r="M26" s="43" t="s">
        <v>194</v>
      </c>
      <c r="N26" t="s">
        <v>196</v>
      </c>
      <c r="O26" t="s">
        <v>198</v>
      </c>
      <c r="P26" s="43" t="s">
        <v>201</v>
      </c>
      <c r="Q26" s="43" t="s">
        <v>204</v>
      </c>
    </row>
    <row r="28" spans="1:21">
      <c r="A28" s="52" t="s">
        <v>179</v>
      </c>
      <c r="B28" s="52" t="s">
        <v>65</v>
      </c>
      <c r="C28" s="52" t="s">
        <v>66</v>
      </c>
      <c r="D28" s="52" t="s">
        <v>180</v>
      </c>
      <c r="E28" s="52" t="s">
        <v>2</v>
      </c>
      <c r="F28" s="52" t="s">
        <v>181</v>
      </c>
      <c r="G28" s="52" t="s">
        <v>182</v>
      </c>
      <c r="H28" s="52" t="s">
        <v>183</v>
      </c>
      <c r="I28" s="52" t="s">
        <v>199</v>
      </c>
      <c r="J28" s="52" t="s">
        <v>71</v>
      </c>
      <c r="K28" s="54" t="s">
        <v>165</v>
      </c>
      <c r="L28" s="54" t="s">
        <v>191</v>
      </c>
      <c r="M28" s="54" t="s">
        <v>193</v>
      </c>
      <c r="N28" s="54" t="s">
        <v>195</v>
      </c>
      <c r="O28" s="54" t="s">
        <v>197</v>
      </c>
      <c r="P28" s="54" t="s">
        <v>202</v>
      </c>
      <c r="Q28" s="54" t="s">
        <v>203</v>
      </c>
      <c r="R28" s="54" t="s">
        <v>205</v>
      </c>
      <c r="S28" s="54" t="s">
        <v>104</v>
      </c>
      <c r="T28" s="54" t="s">
        <v>206</v>
      </c>
      <c r="U28" s="54" t="s">
        <v>215</v>
      </c>
    </row>
    <row r="29" spans="1:21">
      <c r="A29" s="53">
        <v>201</v>
      </c>
      <c r="B29" s="53" t="s">
        <v>3</v>
      </c>
      <c r="C29" s="53" t="s">
        <v>68</v>
      </c>
      <c r="D29" s="53" t="s">
        <v>184</v>
      </c>
      <c r="E29" s="53" t="s">
        <v>9</v>
      </c>
      <c r="F29" s="53" t="s">
        <v>184</v>
      </c>
      <c r="G29" s="53" t="s">
        <v>185</v>
      </c>
      <c r="H29" s="53" t="s">
        <v>85</v>
      </c>
      <c r="I29" s="53" t="s">
        <v>190</v>
      </c>
      <c r="J29" s="2" t="str">
        <f t="shared" ref="J29:J34" si="8">_xlfn.TEXTJOIN(" ",TRUE,B29:C29)</f>
        <v>Amit Kumar</v>
      </c>
      <c r="K29" s="2" t="str">
        <f>_xlfn.TEXTJOIN(" - ",TRUE,B29,E29)</f>
        <v>Amit - Ranchi</v>
      </c>
      <c r="L29" s="2" t="str">
        <f>_xlfn.TEXTJOIN(" | ",TRUE,A29,J29,D29)</f>
        <v>201 | Amit Kumar | Excel</v>
      </c>
      <c r="M29" s="2" t="str">
        <f>_xlfn.TEXTJOIN(", ",TRUE,F29,G29,H29)</f>
        <v>Excel, SQL, Power BI</v>
      </c>
      <c r="N29" s="2" t="str">
        <f>_xlfn.TEXTJOIN(" | ",TRUE,J29,F29,E29,M29)</f>
        <v>Amit Kumar | Excel | Ranchi | Excel, SQL, Power BI</v>
      </c>
      <c r="O29" s="2" t="str">
        <f>_xlfn.TEXTJOIN(" / ",TRUE,F29,G29,H29)</f>
        <v>Excel / SQL / Power BI</v>
      </c>
      <c r="P29" s="2" t="str">
        <f>_xlfn.TEXTJOIN(", ",TRUE,F29,G29,H29,I29)</f>
        <v>Excel, SQL, Power BI, DAX</v>
      </c>
      <c r="Q29" s="2" t="str">
        <f>_xlfn.TEXTJOIN(" | ",TRUE,_xlfn.TEXTJOIN(": ",TRUE,"Student ID",A29),_xlfn.TEXTJOIN(": ",TRUE,"Name",J29),_xlfn.TEXTJOIN(": ",TRUE,"Course",D29),_xlfn.TEXTJOIN(": ",TRUE,"City",E29),_xlfn.TEXTJOIN(": ",TRUE,"Skills",M29))</f>
        <v>Student ID: 201 | Name: Amit Kumar | Course: Excel | City: Ranchi | Skills: Excel, SQL, Power BI</v>
      </c>
      <c r="R29" s="2" t="str">
        <f>_xlfn.TEXTJOIN("+",FALSE,F29,G29,H29,I29)</f>
        <v>Excel+SQL+Power BI+DAX</v>
      </c>
      <c r="S29" s="55" t="s">
        <v>207</v>
      </c>
      <c r="T29" s="2">
        <v>6207673591</v>
      </c>
      <c r="U29" s="2" t="str">
        <f>_xlfn.TEXTJOIN(" ",TRUE,S29:T29)</f>
        <v>+91  6207673591</v>
      </c>
    </row>
    <row r="30" spans="1:21">
      <c r="A30" s="53">
        <v>202</v>
      </c>
      <c r="B30" s="53" t="s">
        <v>5</v>
      </c>
      <c r="C30" s="53" t="s">
        <v>102</v>
      </c>
      <c r="D30" s="53" t="s">
        <v>186</v>
      </c>
      <c r="E30" s="53" t="s">
        <v>7</v>
      </c>
      <c r="F30" s="53" t="s">
        <v>186</v>
      </c>
      <c r="G30" s="53" t="s">
        <v>187</v>
      </c>
      <c r="H30" s="53" t="s">
        <v>188</v>
      </c>
      <c r="I30" s="53"/>
      <c r="J30" s="2" t="str">
        <f t="shared" si="8"/>
        <v>Rahul Singh</v>
      </c>
      <c r="K30" s="2" t="str">
        <f>_xlfn.TEXTJOIN(" - ",TRUE,B30,E30)</f>
        <v>Rahul - Delhi</v>
      </c>
      <c r="L30" s="2" t="str">
        <f>_xlfn.TEXTJOIN(" | ",TRUE,A30,J30,D30)</f>
        <v>202 | Rahul Singh | Python</v>
      </c>
      <c r="M30" s="2" t="str">
        <f>_xlfn.TEXTJOIN(", ",TRUE,F30,G30,H30)</f>
        <v>Python, Pandas, NumPy</v>
      </c>
      <c r="N30" s="2" t="str">
        <f>_xlfn.TEXTJOIN(" | ",TRUE,J30,F30,E30,M30)</f>
        <v>Rahul Singh | Python | Delhi | Python, Pandas, NumPy</v>
      </c>
      <c r="O30" s="2" t="str">
        <f>_xlfn.TEXTJOIN(" / ",TRUE,F30,G30,H30)</f>
        <v>Python / Pandas / NumPy</v>
      </c>
      <c r="P30" s="2" t="str">
        <f>_xlfn.TEXTJOIN(", ",TRUE,F30,G30,H30,I30)</f>
        <v>Python, Pandas, NumPy</v>
      </c>
      <c r="Q30" s="2" t="str">
        <f>_xlfn.TEXTJOIN(" | ",TRUE,_xlfn.TEXTJOIN(": ",TRUE,"Student ID",A30),_xlfn.TEXTJOIN(": ",TRUE,"Name",J30),_xlfn.TEXTJOIN(": ",TRUE,"Course",D30),_xlfn.TEXTJOIN(": ",TRUE,"City",E30),_xlfn.TEXTJOIN(": ",TRUE,"Skills",M30))</f>
        <v>Student ID: 202 | Name: Rahul Singh | Course: Python | City: Delhi | Skills: Python, Pandas, NumPy</v>
      </c>
      <c r="R30" s="2" t="str">
        <f>_xlfn.TEXTJOIN("+",FALSE,F30,G30,H30,I30)</f>
        <v>Python+Pandas+NumPy+</v>
      </c>
      <c r="S30" s="55" t="s">
        <v>208</v>
      </c>
      <c r="T30" s="2">
        <v>6203864719</v>
      </c>
      <c r="U30" s="2" t="str">
        <f>_xlfn.TEXTJOIN(" ",TRUE,S30:T30)</f>
        <v>+1  6203864719</v>
      </c>
    </row>
    <row r="31" spans="1:21">
      <c r="A31" s="53">
        <v>203</v>
      </c>
      <c r="B31" s="53" t="s">
        <v>6</v>
      </c>
      <c r="C31" s="53" t="s">
        <v>97</v>
      </c>
      <c r="D31" s="53" t="s">
        <v>185</v>
      </c>
      <c r="E31" s="53" t="s">
        <v>8</v>
      </c>
      <c r="F31" s="53" t="s">
        <v>185</v>
      </c>
      <c r="G31" s="53" t="s">
        <v>184</v>
      </c>
      <c r="H31" s="53" t="s">
        <v>189</v>
      </c>
      <c r="I31" s="53" t="s">
        <v>85</v>
      </c>
      <c r="J31" s="2" t="str">
        <f t="shared" si="8"/>
        <v>Priya Sharma</v>
      </c>
      <c r="K31" s="2" t="str">
        <f>_xlfn.TEXTJOIN(" - ",TRUE,B31,E31)</f>
        <v>Priya - Mumbai</v>
      </c>
      <c r="L31" s="2" t="str">
        <f>_xlfn.TEXTJOIN(" | ",TRUE,A31,J31,D31)</f>
        <v>203 | Priya Sharma | SQL</v>
      </c>
      <c r="M31" s="2" t="str">
        <f>_xlfn.TEXTJOIN(", ",TRUE,F31,G31,H31)</f>
        <v>SQL, Excel, Tableau</v>
      </c>
      <c r="N31" s="2" t="str">
        <f>_xlfn.TEXTJOIN(" | ",TRUE,J31,F31,E31,M31)</f>
        <v>Priya Sharma | SQL | Mumbai | SQL, Excel, Tableau</v>
      </c>
      <c r="O31" s="2" t="str">
        <f>_xlfn.TEXTJOIN(" / ",TRUE,F31,G31,H31)</f>
        <v>SQL / Excel / Tableau</v>
      </c>
      <c r="P31" s="2" t="str">
        <f>_xlfn.TEXTJOIN(", ",TRUE,F31,G31,H31,I31)</f>
        <v>SQL, Excel, Tableau, Power BI</v>
      </c>
      <c r="Q31" s="2" t="str">
        <f t="shared" ref="Q31:Q36" si="9">_xlfn.TEXTJOIN(" | ",TRUE,_xlfn.TEXTJOIN(": ",TRUE,"Student ID",A31),_xlfn.TEXTJOIN(": ",TRUE,"Name",J31),_xlfn.TEXTJOIN(": ",TRUE,"Course",D31),_xlfn.TEXTJOIN(": ",TRUE,"City",E31),_xlfn.TEXTJOIN(": ",TRUE,"Skills",M31))</f>
        <v>Student ID: 203 | Name: Priya Sharma | Course: SQL | City: Mumbai | Skills: SQL, Excel, Tableau</v>
      </c>
      <c r="R31" s="2" t="str">
        <f t="shared" ref="R31:R36" si="10">_xlfn.TEXTJOIN("+",FALSE,F31,G31,H31,I31)</f>
        <v>SQL+Excel+Tableau+Power BI</v>
      </c>
      <c r="S31" s="55" t="s">
        <v>209</v>
      </c>
      <c r="T31" s="2">
        <v>8877614933</v>
      </c>
      <c r="U31" s="2" t="str">
        <f>_xlfn.TEXTJOIN(" ",TRUE,S31:T31)</f>
        <v>+13  8877614933</v>
      </c>
    </row>
    <row r="32" spans="1:21">
      <c r="A32" s="53">
        <v>204</v>
      </c>
      <c r="B32" s="53" t="s">
        <v>150</v>
      </c>
      <c r="C32" s="53" t="s">
        <v>69</v>
      </c>
      <c r="D32" s="53" t="s">
        <v>85</v>
      </c>
      <c r="E32" s="53" t="s">
        <v>159</v>
      </c>
      <c r="F32" s="53" t="s">
        <v>85</v>
      </c>
      <c r="G32" s="53" t="s">
        <v>185</v>
      </c>
      <c r="H32" s="53" t="s">
        <v>190</v>
      </c>
      <c r="I32" s="53"/>
      <c r="J32" s="2" t="str">
        <f t="shared" si="8"/>
        <v>Kunal Verma</v>
      </c>
      <c r="K32" s="2" t="str">
        <f>_xlfn.TEXTJOIN(" - ",TRUE,B32,E32)</f>
        <v>Kunal - Pune</v>
      </c>
      <c r="L32" s="2" t="str">
        <f>_xlfn.TEXTJOIN(" | ",TRUE,A32,J32,D32)</f>
        <v>204 | Kunal Verma | Power BI</v>
      </c>
      <c r="M32" s="2" t="str">
        <f>_xlfn.TEXTJOIN(", ",TRUE,F32,G32,H32)</f>
        <v>Power BI, SQL, DAX</v>
      </c>
      <c r="N32" s="2" t="str">
        <f>_xlfn.TEXTJOIN(" | ",TRUE,J32,F32,E32,M32)</f>
        <v>Kunal Verma | Power BI | Pune | Power BI, SQL, DAX</v>
      </c>
      <c r="O32" s="2" t="str">
        <f>_xlfn.TEXTJOIN(" / ",TRUE,F32,G32,H32)</f>
        <v>Power BI / SQL / DAX</v>
      </c>
      <c r="P32" s="2" t="str">
        <f>_xlfn.TEXTJOIN(", ",TRUE,F32,G32,H32,I32)</f>
        <v>Power BI, SQL, DAX</v>
      </c>
      <c r="Q32" s="2" t="str">
        <f t="shared" si="9"/>
        <v>Student ID: 204 | Name: Kunal Verma | Course: Power BI | City: Pune | Skills: Power BI, SQL, DAX</v>
      </c>
      <c r="R32" s="2" t="str">
        <f t="shared" si="10"/>
        <v>Power BI+SQL+DAX+</v>
      </c>
      <c r="S32" s="55" t="s">
        <v>210</v>
      </c>
      <c r="T32" s="2">
        <v>6209892613</v>
      </c>
      <c r="U32" s="2" t="str">
        <f>_xlfn.TEXTJOIN(" ",TRUE,S32:T32)</f>
        <v>+2  6209892613</v>
      </c>
    </row>
    <row r="33" spans="1:21">
      <c r="A33" s="53">
        <v>205</v>
      </c>
      <c r="B33" s="53" t="s">
        <v>151</v>
      </c>
      <c r="C33" s="53" t="s">
        <v>154</v>
      </c>
      <c r="D33" s="53" t="s">
        <v>184</v>
      </c>
      <c r="E33" s="53" t="s">
        <v>10</v>
      </c>
      <c r="F33" s="53" t="s">
        <v>184</v>
      </c>
      <c r="G33" s="53" t="s">
        <v>85</v>
      </c>
      <c r="H33" s="53" t="s">
        <v>186</v>
      </c>
      <c r="I33" s="53" t="s">
        <v>185</v>
      </c>
      <c r="J33" s="2" t="str">
        <f t="shared" si="8"/>
        <v>Sneha Gupta</v>
      </c>
      <c r="K33" s="2" t="str">
        <f t="shared" ref="K33:K36" si="11">_xlfn.TEXTJOIN(" - ",TRUE,B33,E33)</f>
        <v>Sneha - Kolkata</v>
      </c>
      <c r="L33" s="2" t="str">
        <f t="shared" ref="L33:L36" si="12">_xlfn.TEXTJOIN(" | ",TRUE,A33,J33,D33)</f>
        <v>205 | Sneha Gupta | Excel</v>
      </c>
      <c r="M33" s="2" t="str">
        <f t="shared" ref="M33:M36" si="13">_xlfn.TEXTJOIN(", ",TRUE,F33,G33,H33)</f>
        <v>Excel, Power BI, Python</v>
      </c>
      <c r="N33" s="2" t="str">
        <f t="shared" ref="N33:N36" si="14">_xlfn.TEXTJOIN(" | ",TRUE,J33,F33,E33,M33)</f>
        <v>Sneha Gupta | Excel | Kolkata | Excel, Power BI, Python</v>
      </c>
      <c r="O33" s="2" t="str">
        <f t="shared" ref="O33:O36" si="15">_xlfn.TEXTJOIN(" / ",TRUE,F33,G33,H33)</f>
        <v>Excel / Power BI / Python</v>
      </c>
      <c r="P33" s="2" t="str">
        <f t="shared" ref="P33:P36" si="16">_xlfn.TEXTJOIN(", ",TRUE,F33,G33,H33,I33)</f>
        <v>Excel, Power BI, Python, SQL</v>
      </c>
      <c r="Q33" s="2" t="str">
        <f t="shared" si="9"/>
        <v>Student ID: 205 | Name: Sneha Gupta | Course: Excel | City: Kolkata | Skills: Excel, Power BI, Python</v>
      </c>
      <c r="R33" s="2" t="str">
        <f t="shared" si="10"/>
        <v>Excel+Power BI+Python+SQL</v>
      </c>
      <c r="S33" s="55" t="s">
        <v>211</v>
      </c>
      <c r="T33" s="2">
        <v>6208765341</v>
      </c>
      <c r="U33" s="2" t="str">
        <f>_xlfn.TEXTJOIN(" ",TRUE,S33:T33)</f>
        <v>+14  6208765341</v>
      </c>
    </row>
    <row r="34" spans="1:21">
      <c r="A34" s="53">
        <v>206</v>
      </c>
      <c r="B34" s="53" t="s">
        <v>152</v>
      </c>
      <c r="C34" s="53" t="s">
        <v>155</v>
      </c>
      <c r="D34" s="53" t="s">
        <v>185</v>
      </c>
      <c r="E34" s="53" t="s">
        <v>161</v>
      </c>
      <c r="F34" s="53" t="s">
        <v>185</v>
      </c>
      <c r="G34" s="53" t="s">
        <v>186</v>
      </c>
      <c r="H34" s="53" t="s">
        <v>184</v>
      </c>
      <c r="I34" s="53" t="s">
        <v>200</v>
      </c>
      <c r="J34" s="2" t="str">
        <f t="shared" si="8"/>
        <v>Ravi Das</v>
      </c>
      <c r="K34" s="2" t="str">
        <f t="shared" si="11"/>
        <v>Ravi - Patna</v>
      </c>
      <c r="L34" s="2" t="str">
        <f t="shared" si="12"/>
        <v>206 | Ravi Das | SQL</v>
      </c>
      <c r="M34" s="2" t="str">
        <f t="shared" si="13"/>
        <v>SQL, Python, Excel</v>
      </c>
      <c r="N34" s="2" t="str">
        <f t="shared" si="14"/>
        <v>Ravi Das | SQL | Patna | SQL, Python, Excel</v>
      </c>
      <c r="O34" s="2" t="str">
        <f t="shared" si="15"/>
        <v>SQL / Python / Excel</v>
      </c>
      <c r="P34" s="2" t="str">
        <f t="shared" si="16"/>
        <v>SQL, Python, Excel, Frontend</v>
      </c>
      <c r="Q34" s="2" t="str">
        <f t="shared" si="9"/>
        <v>Student ID: 206 | Name: Ravi Das | Course: SQL | City: Patna | Skills: SQL, Python, Excel</v>
      </c>
      <c r="R34" s="2" t="str">
        <f t="shared" si="10"/>
        <v>SQL+Python+Excel+Frontend</v>
      </c>
      <c r="S34" s="55" t="s">
        <v>212</v>
      </c>
      <c r="T34" s="2">
        <v>5307685123</v>
      </c>
      <c r="U34" s="2" t="str">
        <f t="shared" ref="U34:U36" si="17">_xlfn.TEXTJOIN(" ",TRUE,S34:T34)</f>
        <v>+12  5307685123</v>
      </c>
    </row>
    <row r="35" spans="1:21">
      <c r="A35" s="53">
        <v>207</v>
      </c>
      <c r="B35" s="53" t="s">
        <v>4</v>
      </c>
      <c r="C35" s="53" t="s">
        <v>156</v>
      </c>
      <c r="D35" s="53" t="s">
        <v>186</v>
      </c>
      <c r="E35" s="53" t="s">
        <v>160</v>
      </c>
      <c r="F35" s="53" t="s">
        <v>186</v>
      </c>
      <c r="G35" s="53" t="s">
        <v>185</v>
      </c>
      <c r="H35" s="53" t="s">
        <v>187</v>
      </c>
      <c r="I35" s="53"/>
      <c r="J35" s="2" t="str">
        <f t="shared" ref="J35:J36" si="18">_xlfn.TEXTJOIN(" ",TRUE,B35:C35)</f>
        <v>Neha Roy</v>
      </c>
      <c r="K35" s="2" t="str">
        <f t="shared" si="11"/>
        <v>Neha - Jamshedpur</v>
      </c>
      <c r="L35" s="2" t="str">
        <f t="shared" si="12"/>
        <v>207 | Neha Roy | Python</v>
      </c>
      <c r="M35" s="2" t="str">
        <f t="shared" si="13"/>
        <v>Python, SQL, Pandas</v>
      </c>
      <c r="N35" s="2" t="str">
        <f t="shared" si="14"/>
        <v>Neha Roy | Python | Jamshedpur | Python, SQL, Pandas</v>
      </c>
      <c r="O35" s="2" t="str">
        <f t="shared" si="15"/>
        <v>Python / SQL / Pandas</v>
      </c>
      <c r="P35" s="2" t="str">
        <f t="shared" si="16"/>
        <v>Python, SQL, Pandas</v>
      </c>
      <c r="Q35" s="2" t="str">
        <f t="shared" si="9"/>
        <v>Student ID: 207 | Name: Neha Roy | Course: Python | City: Jamshedpur | Skills: Python, SQL, Pandas</v>
      </c>
      <c r="R35" s="2" t="str">
        <f t="shared" si="10"/>
        <v>Python+SQL+Pandas+</v>
      </c>
      <c r="S35" s="55" t="s">
        <v>213</v>
      </c>
      <c r="T35" s="2">
        <v>2901838561</v>
      </c>
      <c r="U35" s="2" t="str">
        <f t="shared" si="17"/>
        <v>+15  2901838561</v>
      </c>
    </row>
    <row r="36" spans="1:21">
      <c r="A36" s="53">
        <v>208</v>
      </c>
      <c r="B36" s="53" t="s">
        <v>153</v>
      </c>
      <c r="C36" s="53" t="s">
        <v>157</v>
      </c>
      <c r="D36" s="53" t="s">
        <v>85</v>
      </c>
      <c r="E36" s="53" t="s">
        <v>162</v>
      </c>
      <c r="F36" s="53" t="s">
        <v>85</v>
      </c>
      <c r="G36" s="53" t="s">
        <v>190</v>
      </c>
      <c r="H36" s="53" t="s">
        <v>185</v>
      </c>
      <c r="I36" s="53"/>
      <c r="J36" s="2" t="str">
        <f t="shared" si="18"/>
        <v>Arjun Mehta</v>
      </c>
      <c r="K36" s="2" t="str">
        <f t="shared" si="11"/>
        <v>Arjun - Bangalore</v>
      </c>
      <c r="L36" s="2" t="str">
        <f t="shared" si="12"/>
        <v>208 | Arjun Mehta | Power BI</v>
      </c>
      <c r="M36" s="2" t="str">
        <f t="shared" si="13"/>
        <v>Power BI, DAX, SQL</v>
      </c>
      <c r="N36" s="2" t="str">
        <f t="shared" si="14"/>
        <v>Arjun Mehta | Power BI | Bangalore | Power BI, DAX, SQL</v>
      </c>
      <c r="O36" s="2" t="str">
        <f t="shared" si="15"/>
        <v>Power BI / DAX / SQL</v>
      </c>
      <c r="P36" s="2" t="str">
        <f t="shared" si="16"/>
        <v>Power BI, DAX, SQL</v>
      </c>
      <c r="Q36" s="2" t="str">
        <f t="shared" si="9"/>
        <v>Student ID: 208 | Name: Arjun Mehta | Course: Power BI | City: Bangalore | Skills: Power BI, DAX, SQL</v>
      </c>
      <c r="R36" s="2" t="str">
        <f t="shared" si="10"/>
        <v>Power BI+DAX+SQL+</v>
      </c>
      <c r="S36" s="55" t="s">
        <v>214</v>
      </c>
      <c r="T36" s="2">
        <v>6207673581</v>
      </c>
      <c r="U36" s="2" t="str">
        <f t="shared" si="17"/>
        <v>+17  6207673581</v>
      </c>
    </row>
    <row r="40" spans="1:21">
      <c r="B40" s="51" t="s">
        <v>367</v>
      </c>
      <c r="C40" s="86"/>
      <c r="H40" t="s">
        <v>246</v>
      </c>
      <c r="I40" t="s">
        <v>248</v>
      </c>
      <c r="L40" s="43" t="s">
        <v>252</v>
      </c>
      <c r="M40" s="43" t="s">
        <v>254</v>
      </c>
      <c r="O40" s="43" t="s">
        <v>258</v>
      </c>
      <c r="P40" s="43" t="s">
        <v>259</v>
      </c>
      <c r="Q40" s="43" t="s">
        <v>260</v>
      </c>
    </row>
    <row r="42" spans="1:21">
      <c r="A42" s="56" t="s">
        <v>216</v>
      </c>
      <c r="B42" s="56" t="s">
        <v>217</v>
      </c>
      <c r="C42" s="56" t="s">
        <v>218</v>
      </c>
      <c r="D42" s="56" t="s">
        <v>219</v>
      </c>
      <c r="E42" s="56" t="s">
        <v>2</v>
      </c>
      <c r="F42" s="56" t="s">
        <v>11</v>
      </c>
      <c r="H42" s="58" t="s">
        <v>245</v>
      </c>
      <c r="I42" s="58" t="s">
        <v>247</v>
      </c>
      <c r="J42" s="58" t="s">
        <v>249</v>
      </c>
      <c r="K42" s="58" t="s">
        <v>250</v>
      </c>
      <c r="L42" s="58" t="s">
        <v>251</v>
      </c>
      <c r="M42" s="58" t="s">
        <v>253</v>
      </c>
      <c r="N42" s="58" t="s">
        <v>256</v>
      </c>
      <c r="O42" s="59" t="s">
        <v>255</v>
      </c>
      <c r="P42" s="58" t="s">
        <v>261</v>
      </c>
      <c r="Q42" s="58" t="s">
        <v>262</v>
      </c>
      <c r="R42" s="58" t="s">
        <v>263</v>
      </c>
      <c r="S42" s="58" t="s">
        <v>264</v>
      </c>
    </row>
    <row r="43" spans="1:21">
      <c r="A43" s="53">
        <v>301</v>
      </c>
      <c r="B43" s="53" t="s">
        <v>56</v>
      </c>
      <c r="C43" s="57" t="s">
        <v>220</v>
      </c>
      <c r="D43" s="53" t="s">
        <v>221</v>
      </c>
      <c r="E43" s="53" t="s">
        <v>9</v>
      </c>
      <c r="F43" s="53" t="s">
        <v>15</v>
      </c>
      <c r="H43" s="60" t="str">
        <f>SUBSTITUTE(C43,"@gmail.com","@company.com")</f>
        <v>amit@company.com</v>
      </c>
      <c r="I43" s="2" t="str">
        <f>SUBSTITUTE(F43,"Laptop","Computer")</f>
        <v>Computer</v>
      </c>
      <c r="J43" s="2" t="str">
        <f>SUBSTITUTE(E43,"Ranchi","Jamshedpur")</f>
        <v>Jamshedpur</v>
      </c>
      <c r="K43" s="2" t="str">
        <f>SUBSTITUTE(D43,"-"," ")</f>
        <v>9876 543 210</v>
      </c>
      <c r="L43" s="2" t="str">
        <f>SUBSTITUTE(C43,".","_")</f>
        <v>amit@gmail_com</v>
      </c>
      <c r="M43" s="2" t="str">
        <f>SUBSTITUTE(B43," ","-")</f>
        <v>Amit-Kumar</v>
      </c>
      <c r="N43" s="2" t="s">
        <v>257</v>
      </c>
      <c r="O43" s="2" t="str">
        <f>SUBSTITUTE(N43,"Excel","Python",1)</f>
        <v>Python, SQL, Excel, Power BI, Excel</v>
      </c>
      <c r="P43" s="2" t="str">
        <f>_xlfn.TEXTJOIN(" - ",TRUE,B43,E43,"Sales")</f>
        <v>Amit Kumar - Ranchi - Sales</v>
      </c>
      <c r="Q43" s="2" t="str">
        <f>SUBSTITUTE(P43,"-","/")</f>
        <v>Amit Kumar / Ranchi / Sales</v>
      </c>
      <c r="R43" s="27">
        <v>46246</v>
      </c>
      <c r="S43" s="2" t="str">
        <f>SUBSTITUTE(TEXT(R43,"dd-mm-yyyy"),"-","/")</f>
        <v>12/08/2026</v>
      </c>
      <c r="T43" t="str">
        <f>TEXT(R43,"dd/mm/yyyy")</f>
        <v>12/08/2026</v>
      </c>
    </row>
    <row r="44" spans="1:21">
      <c r="A44" s="53">
        <v>302</v>
      </c>
      <c r="B44" s="53" t="s">
        <v>222</v>
      </c>
      <c r="C44" s="57" t="s">
        <v>223</v>
      </c>
      <c r="D44" s="53" t="s">
        <v>224</v>
      </c>
      <c r="E44" s="53" t="s">
        <v>7</v>
      </c>
      <c r="F44" s="53" t="s">
        <v>225</v>
      </c>
      <c r="H44" s="2" t="str">
        <f>SUBSTITUTE(C44,"@gmail.com","@company.com")</f>
        <v>rahul@company.com</v>
      </c>
      <c r="I44" s="2" t="str">
        <f>SUBSTITUTE(F44,"Mobile","Phone")</f>
        <v>Phone</v>
      </c>
      <c r="J44" s="2" t="str">
        <f t="shared" ref="J44:J50" si="19">SUBSTITUTE(E44,"Ranchi","Jamshedpur")</f>
        <v>Delhi</v>
      </c>
      <c r="K44" s="2" t="str">
        <f>SUBSTITUTE(D44,"-"," ")</f>
        <v>9876 111 222</v>
      </c>
      <c r="L44" s="2" t="str">
        <f>SUBSTITUTE(C44,".","_")</f>
        <v>rahul@gmail_com</v>
      </c>
      <c r="M44" s="2" t="str">
        <f>SUBSTITUTE(B44," ","-")</f>
        <v>Rahul-Singh</v>
      </c>
      <c r="N44" s="3"/>
      <c r="O44" s="2" t="str">
        <f>SUBSTITUTE(N43,"Excel","Maths",2)</f>
        <v>Excel, SQL, Maths, Power BI, Excel</v>
      </c>
      <c r="P44" s="2" t="str">
        <f t="shared" ref="P44:P50" si="20">_xlfn.TEXTJOIN(" - ",TRUE,B44,E44,F44)</f>
        <v>Rahul Singh - Delhi - Mobile</v>
      </c>
      <c r="Q44" s="2" t="str">
        <f>SUBSTITUTE(P44," - "," / ")</f>
        <v>Rahul Singh / Delhi / Mobile</v>
      </c>
      <c r="R44" s="27">
        <v>43786</v>
      </c>
      <c r="S44" s="2" t="str">
        <f>SUBSTITUTE(TEXT(R44,"dd-mm-yyyy"),"-","/")</f>
        <v>17/11/2019</v>
      </c>
      <c r="T44" t="str">
        <f>TEXT(R44,"dd/mm/yyyy")</f>
        <v>17/11/2019</v>
      </c>
    </row>
    <row r="45" spans="1:21">
      <c r="A45" s="53">
        <v>303</v>
      </c>
      <c r="B45" s="53" t="s">
        <v>226</v>
      </c>
      <c r="C45" s="57" t="s">
        <v>227</v>
      </c>
      <c r="D45" s="53" t="s">
        <v>228</v>
      </c>
      <c r="E45" s="53" t="s">
        <v>8</v>
      </c>
      <c r="F45" s="53" t="s">
        <v>229</v>
      </c>
      <c r="H45" s="2" t="str">
        <f>SUBSTITUTE(C45,"@gmail.com","@company.com")</f>
        <v>priya@company.com</v>
      </c>
      <c r="I45" s="2" t="str">
        <f>SUBSTITUTE(F45,"Tablet","I - Pad")</f>
        <v>I - Pad</v>
      </c>
      <c r="J45" s="2" t="str">
        <f t="shared" si="19"/>
        <v>Mumbai</v>
      </c>
      <c r="K45" s="2" t="str">
        <f>SUBSTITUTE(D45,"-"," ")</f>
        <v>9876 333 444</v>
      </c>
      <c r="L45" s="2" t="str">
        <f>SUBSTITUTE(C45,".","_")</f>
        <v>priya@gmail_com</v>
      </c>
      <c r="M45" s="2" t="str">
        <f>SUBSTITUTE(B45," ","-")</f>
        <v>Priya-Sharma</v>
      </c>
      <c r="N45" s="3"/>
      <c r="O45" s="2" t="str">
        <f>SUBSTITUTE(N43,"Excel","DBMS",3)</f>
        <v>Excel, SQL, Excel, Power BI, DBMS</v>
      </c>
      <c r="P45" s="2" t="str">
        <f t="shared" si="20"/>
        <v>Priya Sharma - Mumbai - Tablet</v>
      </c>
      <c r="Q45" s="2" t="str">
        <f>SUBSTITUTE(P45,"-","/")</f>
        <v>Priya Sharma / Mumbai / Tablet</v>
      </c>
      <c r="R45" s="27">
        <v>42387</v>
      </c>
      <c r="S45" s="2" t="str">
        <f>SUBSTITUTE(TEXT(R45,"dd-mm-yyyy"),"-","/")</f>
        <v>18/01/2016</v>
      </c>
      <c r="T45" t="str">
        <f>TEXT(R45,"dd/mm/yyyy")</f>
        <v>18/01/2016</v>
      </c>
    </row>
    <row r="46" spans="1:21">
      <c r="A46" s="53">
        <v>304</v>
      </c>
      <c r="B46" s="53" t="s">
        <v>230</v>
      </c>
      <c r="C46" s="57" t="s">
        <v>231</v>
      </c>
      <c r="D46" s="53" t="s">
        <v>232</v>
      </c>
      <c r="E46" s="53" t="s">
        <v>159</v>
      </c>
      <c r="F46" s="53" t="s">
        <v>15</v>
      </c>
      <c r="H46" s="2" t="str">
        <f>SUBSTITUTE(C46,"@gmail.com","@company.com")</f>
        <v>kunal@company.com</v>
      </c>
      <c r="I46" s="2" t="str">
        <f>SUBSTITUTE(F46,"Laptop","Computer")</f>
        <v>Computer</v>
      </c>
      <c r="J46" s="2" t="str">
        <f t="shared" si="19"/>
        <v>Pune</v>
      </c>
      <c r="K46" s="2" t="str">
        <f>SUBSTITUTE(D46,"-"," ")</f>
        <v>9876 555 666</v>
      </c>
      <c r="L46" s="2" t="str">
        <f>SUBSTITUTE(C46,".","_")</f>
        <v>kunal@gmail_com</v>
      </c>
      <c r="M46" s="2" t="str">
        <f>SUBSTITUTE(B46," ","-")</f>
        <v>Kunal-Verma</v>
      </c>
      <c r="N46" s="3"/>
      <c r="O46" s="2"/>
      <c r="P46" s="2" t="str">
        <f t="shared" si="20"/>
        <v>Kunal Verma - Pune - Laptop</v>
      </c>
      <c r="Q46" s="2" t="str">
        <f>SUBSTITUTE(P46,"-","/")</f>
        <v>Kunal Verma / Pune / Laptop</v>
      </c>
      <c r="R46" s="27">
        <v>45562</v>
      </c>
      <c r="S46" s="2" t="str">
        <f>SUBSTITUTE(TEXT(R46,"dd-mm-yyy"),"-","/")</f>
        <v>27/09/2024</v>
      </c>
      <c r="T46" t="str">
        <f>TEXT(R46,"dd/mm/yyyy")</f>
        <v>27/09/2024</v>
      </c>
    </row>
    <row r="47" spans="1:21">
      <c r="A47" s="53">
        <v>305</v>
      </c>
      <c r="B47" s="53" t="s">
        <v>233</v>
      </c>
      <c r="C47" s="57" t="s">
        <v>234</v>
      </c>
      <c r="D47" s="53" t="s">
        <v>235</v>
      </c>
      <c r="E47" s="53" t="s">
        <v>10</v>
      </c>
      <c r="F47" s="53" t="s">
        <v>41</v>
      </c>
      <c r="H47" s="2" t="str">
        <f t="shared" ref="H47:H50" si="21">SUBSTITUTE(C47,"@gmail.com","@company.com")</f>
        <v>sneha@company.com</v>
      </c>
      <c r="I47" s="2" t="str">
        <f t="shared" ref="I47:I50" si="22">SUBSTITUTE(F47,"Laptop","Computer")</f>
        <v>Monitor</v>
      </c>
      <c r="J47" s="2" t="str">
        <f t="shared" si="19"/>
        <v>Kolkata</v>
      </c>
      <c r="K47" s="2" t="str">
        <f t="shared" ref="K47:K50" si="23">SUBSTITUTE(D47,"-"," ")</f>
        <v>9876 777 888</v>
      </c>
      <c r="L47" s="2" t="str">
        <f t="shared" ref="L47:L50" si="24">SUBSTITUTE(C47,".","_")</f>
        <v>sneha@gmail_com</v>
      </c>
      <c r="M47" s="2" t="str">
        <f t="shared" ref="M47:M50" si="25">SUBSTITUTE(B47," ","-")</f>
        <v>Sneha-Gupta</v>
      </c>
      <c r="N47" s="3"/>
      <c r="O47" s="2"/>
      <c r="P47" s="2" t="str">
        <f t="shared" si="20"/>
        <v>Sneha Gupta - Kolkata - Monitor</v>
      </c>
      <c r="Q47" s="2" t="str">
        <f t="shared" ref="Q47:Q50" si="26">SUBSTITUTE(P47,"-","/")</f>
        <v>Sneha Gupta / Kolkata / Monitor</v>
      </c>
      <c r="R47" s="27">
        <v>44851</v>
      </c>
      <c r="S47" s="2" t="str">
        <f t="shared" ref="S47:S50" si="27">SUBSTITUTE(TEXT(R47,"dd-mm-yyy"),"-","/")</f>
        <v>17/10/2022</v>
      </c>
    </row>
    <row r="48" spans="1:21">
      <c r="A48" s="53">
        <v>306</v>
      </c>
      <c r="B48" s="53" t="s">
        <v>236</v>
      </c>
      <c r="C48" s="57" t="s">
        <v>237</v>
      </c>
      <c r="D48" s="53" t="s">
        <v>238</v>
      </c>
      <c r="E48" s="53" t="s">
        <v>161</v>
      </c>
      <c r="F48" s="53" t="s">
        <v>40</v>
      </c>
      <c r="H48" s="2" t="str">
        <f t="shared" si="21"/>
        <v>ravi@company.com</v>
      </c>
      <c r="I48" s="2" t="str">
        <f t="shared" si="22"/>
        <v>Keyboard</v>
      </c>
      <c r="J48" s="2" t="str">
        <f t="shared" si="19"/>
        <v>Patna</v>
      </c>
      <c r="K48" s="2" t="str">
        <f t="shared" si="23"/>
        <v>9876 999 000</v>
      </c>
      <c r="L48" s="2" t="str">
        <f t="shared" si="24"/>
        <v>ravi@gmail_com</v>
      </c>
      <c r="M48" s="2" t="str">
        <f t="shared" si="25"/>
        <v>Ravi-Das</v>
      </c>
      <c r="N48" s="3"/>
      <c r="O48" s="2"/>
      <c r="P48" s="2" t="str">
        <f t="shared" si="20"/>
        <v>Ravi Das - Patna - Keyboard</v>
      </c>
      <c r="Q48" s="2" t="str">
        <f t="shared" si="26"/>
        <v>Ravi Das / Patna / Keyboard</v>
      </c>
      <c r="R48" s="27">
        <v>44328</v>
      </c>
      <c r="S48" s="2" t="str">
        <f t="shared" si="27"/>
        <v>12/05/2021</v>
      </c>
    </row>
    <row r="49" spans="1:19">
      <c r="A49" s="53">
        <v>307</v>
      </c>
      <c r="B49" s="53" t="s">
        <v>239</v>
      </c>
      <c r="C49" s="57" t="s">
        <v>240</v>
      </c>
      <c r="D49" s="53" t="s">
        <v>241</v>
      </c>
      <c r="E49" s="53" t="s">
        <v>9</v>
      </c>
      <c r="F49" s="53" t="s">
        <v>16</v>
      </c>
      <c r="H49" s="2" t="str">
        <f t="shared" si="21"/>
        <v>neha@company.com</v>
      </c>
      <c r="I49" s="2" t="str">
        <f t="shared" si="22"/>
        <v>Mouse</v>
      </c>
      <c r="J49" s="2" t="str">
        <f t="shared" si="19"/>
        <v>Jamshedpur</v>
      </c>
      <c r="K49" s="2" t="str">
        <f t="shared" si="23"/>
        <v>9876 123 456</v>
      </c>
      <c r="L49" s="2" t="str">
        <f t="shared" si="24"/>
        <v>neha@gmail_com</v>
      </c>
      <c r="M49" s="2" t="str">
        <f t="shared" si="25"/>
        <v>Neha-Roy</v>
      </c>
      <c r="N49" s="3"/>
      <c r="O49" s="2"/>
      <c r="P49" s="2" t="str">
        <f t="shared" si="20"/>
        <v>Neha Roy - Ranchi - Mouse</v>
      </c>
      <c r="Q49" s="2" t="str">
        <f t="shared" si="26"/>
        <v>Neha Roy / Ranchi / Mouse</v>
      </c>
      <c r="R49" s="27">
        <v>45732</v>
      </c>
      <c r="S49" s="2" t="str">
        <f t="shared" si="27"/>
        <v>16/03/2025</v>
      </c>
    </row>
    <row r="50" spans="1:19">
      <c r="A50" s="53">
        <v>308</v>
      </c>
      <c r="B50" s="53" t="s">
        <v>242</v>
      </c>
      <c r="C50" s="57" t="s">
        <v>243</v>
      </c>
      <c r="D50" s="53" t="s">
        <v>244</v>
      </c>
      <c r="E50" s="53" t="s">
        <v>7</v>
      </c>
      <c r="F50" s="53" t="s">
        <v>15</v>
      </c>
      <c r="H50" s="2" t="str">
        <f t="shared" si="21"/>
        <v>arjun@company.com</v>
      </c>
      <c r="I50" s="2" t="str">
        <f t="shared" si="22"/>
        <v>Computer</v>
      </c>
      <c r="J50" s="2" t="str">
        <f t="shared" si="19"/>
        <v>Delhi</v>
      </c>
      <c r="K50" s="2" t="str">
        <f t="shared" si="23"/>
        <v>9876 456 789</v>
      </c>
      <c r="L50" s="2" t="str">
        <f t="shared" si="24"/>
        <v>arjun@gmail_com</v>
      </c>
      <c r="M50" s="2" t="str">
        <f t="shared" si="25"/>
        <v>Arjun-Mehta</v>
      </c>
      <c r="N50" s="3"/>
      <c r="O50" s="2"/>
      <c r="P50" s="2" t="str">
        <f t="shared" si="20"/>
        <v>Arjun Mehta - Delhi - Laptop</v>
      </c>
      <c r="Q50" s="2" t="str">
        <f t="shared" si="26"/>
        <v>Arjun Mehta / Delhi / Laptop</v>
      </c>
      <c r="R50" s="27">
        <v>45046</v>
      </c>
      <c r="S50" s="2" t="str">
        <f t="shared" si="27"/>
        <v>30/04/2023</v>
      </c>
    </row>
    <row r="51" spans="1:19">
      <c r="A51" s="43"/>
      <c r="B51" s="43"/>
      <c r="C51" s="43"/>
      <c r="D51" s="43"/>
      <c r="E51" s="43"/>
      <c r="F51" s="43"/>
    </row>
    <row r="54" spans="1:19">
      <c r="B54" s="51" t="s">
        <v>265</v>
      </c>
      <c r="C54" s="86"/>
      <c r="G54" s="62" t="s">
        <v>274</v>
      </c>
      <c r="H54" s="43">
        <v>9999543210</v>
      </c>
      <c r="K54" s="63"/>
    </row>
    <row r="56" spans="1:19">
      <c r="A56" s="61" t="s">
        <v>32</v>
      </c>
      <c r="B56" s="61" t="s">
        <v>266</v>
      </c>
      <c r="C56" s="61" t="s">
        <v>267</v>
      </c>
      <c r="D56" s="61" t="s">
        <v>219</v>
      </c>
      <c r="E56" s="61" t="s">
        <v>33</v>
      </c>
      <c r="G56" s="12" t="s">
        <v>275</v>
      </c>
      <c r="H56" s="12" t="s">
        <v>276</v>
      </c>
      <c r="I56" s="12" t="s">
        <v>277</v>
      </c>
      <c r="J56" s="64" t="s">
        <v>278</v>
      </c>
      <c r="K56" s="64" t="s">
        <v>279</v>
      </c>
      <c r="L56" s="66" t="s">
        <v>280</v>
      </c>
      <c r="M56" s="64" t="s">
        <v>281</v>
      </c>
      <c r="N56" s="64" t="s">
        <v>282</v>
      </c>
    </row>
    <row r="57" spans="1:19">
      <c r="A57" s="53">
        <v>401</v>
      </c>
      <c r="B57" s="53" t="s">
        <v>56</v>
      </c>
      <c r="C57" s="53" t="s">
        <v>268</v>
      </c>
      <c r="D57" s="53">
        <v>9876543210</v>
      </c>
      <c r="E57" s="53" t="s">
        <v>36</v>
      </c>
      <c r="G57" s="2" t="str">
        <f>REPLACE(C57,5,3,501)</f>
        <v>EMP-501</v>
      </c>
      <c r="H57" s="2" t="str">
        <f>REPLACE(D57,1,4,9999)</f>
        <v>9999543210</v>
      </c>
      <c r="I57" s="2" t="str">
        <f>REPLACE(B57,1,4,"Rohit")</f>
        <v>Rohit Kumar</v>
      </c>
      <c r="J57" s="65" t="str">
        <f>REPLACE(C58,5,3,502)</f>
        <v>EMP-502</v>
      </c>
      <c r="K57" s="2" t="str">
        <f>REPLACE(E58,1,2,"HR")</f>
        <v>HRnance</v>
      </c>
      <c r="L57" s="2" t="str">
        <f>REPLACE(D57,5,6,"XXXXXX")</f>
        <v>9876XXXXXX</v>
      </c>
      <c r="M57" s="2" t="str">
        <f>REPLACE(B59,1,5,"Anita")</f>
        <v>Anita Sharma</v>
      </c>
      <c r="N57" s="65" t="str">
        <f>REPLACE(C61,1,7,"STU-205")</f>
        <v>STU-205</v>
      </c>
    </row>
    <row r="58" spans="1:19">
      <c r="A58" s="53">
        <v>402</v>
      </c>
      <c r="B58" s="53" t="s">
        <v>222</v>
      </c>
      <c r="C58" s="53" t="s">
        <v>269</v>
      </c>
      <c r="D58" s="53">
        <v>9876111222</v>
      </c>
      <c r="E58" s="53" t="s">
        <v>37</v>
      </c>
      <c r="G58" s="2" t="str">
        <f>REPLACE(C58,5,3,502)</f>
        <v>EMP-502</v>
      </c>
      <c r="H58" s="2" t="str">
        <f>REPLACE(D58,1,4,9999)</f>
        <v>9999111222</v>
      </c>
      <c r="I58" s="2" t="str">
        <f>REPLACE(B58,1,5,"Ram")</f>
        <v>Ram Singh</v>
      </c>
      <c r="J58" s="2" t="str">
        <f>REPLACE(C57,5,3,501)</f>
        <v>EMP-501</v>
      </c>
      <c r="K58" s="2" t="str">
        <f>REPLACE(E57,1,2,"CA")</f>
        <v>CAles</v>
      </c>
      <c r="L58" s="2" t="str">
        <f>REPLACE(D58,5,6,"XXXXXX")</f>
        <v>9876XXXXXX</v>
      </c>
      <c r="M58" s="2" t="str">
        <f>REPLACE(B58,1,5,"Ankit")</f>
        <v>Ankit Singh</v>
      </c>
      <c r="N58" s="67" t="str">
        <f>REPLACE(C57,1,7,"STU-201")</f>
        <v>STU-201</v>
      </c>
    </row>
    <row r="59" spans="1:19">
      <c r="A59" s="53">
        <v>403</v>
      </c>
      <c r="B59" s="53" t="s">
        <v>226</v>
      </c>
      <c r="C59" s="53" t="s">
        <v>270</v>
      </c>
      <c r="D59" s="53">
        <v>9876333444</v>
      </c>
      <c r="E59" s="53" t="s">
        <v>34</v>
      </c>
      <c r="G59" s="2" t="str">
        <f>REPLACE(C59,5,3,503)</f>
        <v>EMP-503</v>
      </c>
      <c r="H59" s="2" t="str">
        <f>REPLACE(D59,1,4,9999)</f>
        <v>9999333444</v>
      </c>
      <c r="I59" s="2" t="str">
        <f>REPLACE(B59,1,5,"Soniya")</f>
        <v>Soniya Sharma</v>
      </c>
      <c r="J59" s="2" t="str">
        <f>REPLACE(C59,5,3,503)</f>
        <v>EMP-503</v>
      </c>
      <c r="K59" s="2" t="str">
        <f>REPLACE(E59,1,2,"DAX Func")</f>
        <v>DAX Func</v>
      </c>
      <c r="L59" s="2" t="str">
        <f>REPLACE(D59,5,6,"XXXXXX")</f>
        <v>9876XXXXXX</v>
      </c>
      <c r="M59" s="2" t="str">
        <f>REPLACE(B57,1,4,"Kunal")</f>
        <v>Kunal Kumar</v>
      </c>
      <c r="N59" s="2" t="str">
        <f>REPLACE(C58,1,7,"STU-202")</f>
        <v>STU-202</v>
      </c>
    </row>
    <row r="60" spans="1:19">
      <c r="A60" s="53">
        <v>404</v>
      </c>
      <c r="B60" s="53" t="s">
        <v>230</v>
      </c>
      <c r="C60" s="53" t="s">
        <v>271</v>
      </c>
      <c r="D60" s="53">
        <v>9876555666</v>
      </c>
      <c r="E60" s="53" t="s">
        <v>35</v>
      </c>
      <c r="G60" s="2" t="str">
        <f>REPLACE(C60,5,3,504)</f>
        <v>EMP-504</v>
      </c>
      <c r="H60" s="2" t="str">
        <f>REPLACE(D60,1,4,9999)</f>
        <v>9999555666</v>
      </c>
      <c r="I60" s="2" t="str">
        <f>REPLACE(B60,1,5,"Sam")</f>
        <v>Sam Verma</v>
      </c>
      <c r="J60" s="2" t="str">
        <f>REPLACE(C60,5,3,504)</f>
        <v>EMP-504</v>
      </c>
      <c r="K60" s="2" t="str">
        <f>REPLACE(E60,1,2,"U-Tube")</f>
        <v>U-Tube</v>
      </c>
      <c r="L60" s="2" t="str">
        <f>REPLACE(D60,5,6,"XXXXXX")</f>
        <v>9876XXXXXX</v>
      </c>
      <c r="M60" s="2" t="str">
        <f>REPLACE(B62,1,4,"Ram")</f>
        <v>Ram Das</v>
      </c>
      <c r="N60" s="2" t="str">
        <f>REPLACE(C59,1,7,"STU-203")</f>
        <v>STU-203</v>
      </c>
    </row>
    <row r="61" spans="1:19">
      <c r="A61" s="53">
        <v>405</v>
      </c>
      <c r="B61" s="53" t="s">
        <v>233</v>
      </c>
      <c r="C61" s="53" t="s">
        <v>272</v>
      </c>
      <c r="D61" s="53">
        <v>9876777888</v>
      </c>
      <c r="E61" s="53" t="s">
        <v>158</v>
      </c>
      <c r="G61" s="2" t="str">
        <f>REPLACE(C61,5,3,505)</f>
        <v>EMP-505</v>
      </c>
      <c r="H61" s="2" t="str">
        <f t="shared" ref="H61:H62" si="28">REPLACE(D61,1,4,9999)</f>
        <v>9999777888</v>
      </c>
      <c r="I61" s="2" t="str">
        <f>REPLACE(B61,1,5,"Swity")</f>
        <v>Swity Gupta</v>
      </c>
      <c r="J61" s="2" t="str">
        <f>REPLACE(C61,5,3,500+ROW( )-56)</f>
        <v>EMP-505</v>
      </c>
      <c r="K61" s="2" t="str">
        <f>REPLACE(E61,1,2,"YA")</f>
        <v>YArketing</v>
      </c>
      <c r="L61" s="2" t="str">
        <f t="shared" ref="L61:L62" si="29">REPLACE(D61,5,6,"XXXXXX")</f>
        <v>9876XXXXXX</v>
      </c>
      <c r="M61" s="2" t="str">
        <f>REPLACE(B61,1,5,"Kumkum")</f>
        <v>Kumkum Gupta</v>
      </c>
      <c r="N61" s="2" t="str">
        <f>REPLACE(C60,1,7,"STU-204")</f>
        <v>STU-204</v>
      </c>
    </row>
    <row r="62" spans="1:19">
      <c r="A62" s="53">
        <v>406</v>
      </c>
      <c r="B62" s="53" t="s">
        <v>236</v>
      </c>
      <c r="C62" s="53" t="s">
        <v>273</v>
      </c>
      <c r="D62" s="53">
        <v>9876999000</v>
      </c>
      <c r="E62" s="53" t="s">
        <v>36</v>
      </c>
      <c r="G62" s="2" t="str">
        <f>REPLACE(C62,5,3,505)</f>
        <v>EMP-505</v>
      </c>
      <c r="H62" s="2" t="str">
        <f t="shared" si="28"/>
        <v>9999999000</v>
      </c>
      <c r="I62" s="2" t="str">
        <f>REPLACE(B62,1,4,"Ritesh")</f>
        <v>Ritesh Das</v>
      </c>
      <c r="J62" s="2" t="str">
        <f>REPLACE(C62,5,3,500+ROW( )-56)</f>
        <v>EMP-506</v>
      </c>
      <c r="K62" s="2" t="str">
        <f>REPLACE(E62,1,2,"MA")</f>
        <v>MAles</v>
      </c>
      <c r="L62" s="2" t="str">
        <f t="shared" si="29"/>
        <v>9876XXXXXX</v>
      </c>
      <c r="M62" s="2" t="str">
        <f>REPLACE(B62,1,4,"Rohit")</f>
        <v>Rohit Das</v>
      </c>
      <c r="N62" s="2" t="str">
        <f>REPLACE(J62,1,7,"STU-206")</f>
        <v>STU-206</v>
      </c>
    </row>
    <row r="66" spans="1:5">
      <c r="B66" s="51" t="s">
        <v>366</v>
      </c>
      <c r="C66" s="86"/>
      <c r="D66" s="86"/>
    </row>
    <row r="68" spans="1:5">
      <c r="A68" t="s">
        <v>284</v>
      </c>
    </row>
    <row r="69" spans="1:5">
      <c r="A69" s="68" t="s">
        <v>11</v>
      </c>
      <c r="B69" s="68" t="s">
        <v>12</v>
      </c>
      <c r="C69" s="68" t="s">
        <v>13</v>
      </c>
      <c r="D69" s="6" t="s">
        <v>283</v>
      </c>
    </row>
    <row r="70" spans="1:5">
      <c r="A70" s="53" t="s">
        <v>15</v>
      </c>
      <c r="B70" s="53">
        <v>50000</v>
      </c>
      <c r="C70" s="53">
        <v>2</v>
      </c>
      <c r="D70" s="2">
        <f>B70*C70</f>
        <v>100000</v>
      </c>
    </row>
    <row r="71" spans="1:5">
      <c r="A71" s="53" t="s">
        <v>16</v>
      </c>
      <c r="B71" s="53">
        <v>800</v>
      </c>
      <c r="C71" s="53">
        <v>5</v>
      </c>
      <c r="D71" s="2">
        <f t="shared" ref="D71:D72" si="30">B71*C71</f>
        <v>4000</v>
      </c>
    </row>
    <row r="72" spans="1:5">
      <c r="A72" s="53" t="s">
        <v>40</v>
      </c>
      <c r="B72" s="53">
        <v>1200</v>
      </c>
      <c r="C72" s="53">
        <v>3</v>
      </c>
      <c r="D72" s="2">
        <f t="shared" si="30"/>
        <v>3600</v>
      </c>
    </row>
    <row r="75" spans="1:5">
      <c r="A75" t="s">
        <v>285</v>
      </c>
    </row>
    <row r="76" spans="1:5">
      <c r="A76" s="68" t="s">
        <v>11</v>
      </c>
      <c r="B76" s="68" t="s">
        <v>12</v>
      </c>
      <c r="C76" s="68" t="s">
        <v>286</v>
      </c>
      <c r="D76" s="6" t="s">
        <v>287</v>
      </c>
      <c r="E76" s="70">
        <v>0.18</v>
      </c>
    </row>
    <row r="77" spans="1:5">
      <c r="A77" s="53" t="s">
        <v>15</v>
      </c>
      <c r="B77" s="53">
        <v>50000</v>
      </c>
      <c r="C77" s="69">
        <v>0.18</v>
      </c>
      <c r="D77" s="2">
        <f>B77*$E$76</f>
        <v>9000</v>
      </c>
    </row>
    <row r="78" spans="1:5">
      <c r="A78" s="53" t="s">
        <v>16</v>
      </c>
      <c r="B78" s="53">
        <v>800</v>
      </c>
      <c r="C78" s="69">
        <v>0.18</v>
      </c>
      <c r="D78" s="2">
        <f t="shared" ref="D78:D79" si="31">B78*$E$76</f>
        <v>144</v>
      </c>
    </row>
    <row r="79" spans="1:5">
      <c r="A79" s="53" t="s">
        <v>40</v>
      </c>
      <c r="B79" s="53">
        <v>1200</v>
      </c>
      <c r="C79" s="69">
        <v>0.18</v>
      </c>
      <c r="D79" s="2">
        <f t="shared" si="31"/>
        <v>216</v>
      </c>
    </row>
    <row r="82" spans="1:5">
      <c r="A82" t="s">
        <v>288</v>
      </c>
    </row>
    <row r="83" spans="1:5">
      <c r="A83" s="6" t="s">
        <v>289</v>
      </c>
      <c r="B83" s="31"/>
      <c r="C83" s="6" t="s">
        <v>290</v>
      </c>
      <c r="E83" t="s">
        <v>393</v>
      </c>
    </row>
    <row r="84" spans="1:5">
      <c r="A84" s="2">
        <v>12500</v>
      </c>
      <c r="B84" s="94"/>
      <c r="C84" s="93">
        <v>12500</v>
      </c>
      <c r="E84" s="63" t="s">
        <v>394</v>
      </c>
    </row>
    <row r="85" spans="1:5">
      <c r="A85" s="2">
        <v>75000</v>
      </c>
      <c r="B85" s="94"/>
      <c r="C85" s="93">
        <v>75000</v>
      </c>
    </row>
    <row r="86" spans="1:5">
      <c r="A86" s="2">
        <v>250000</v>
      </c>
      <c r="B86" s="94"/>
      <c r="C86" s="93">
        <v>250000</v>
      </c>
    </row>
    <row r="87" spans="1:5">
      <c r="A87" s="2">
        <v>1500000</v>
      </c>
      <c r="B87" s="94"/>
      <c r="C87" s="93">
        <v>1500000</v>
      </c>
    </row>
    <row r="88" spans="1:5">
      <c r="A88" s="72"/>
    </row>
    <row r="90" spans="1:5">
      <c r="A90" t="s">
        <v>291</v>
      </c>
    </row>
    <row r="91" spans="1:5">
      <c r="A91" s="6" t="s">
        <v>292</v>
      </c>
      <c r="B91" s="6" t="s">
        <v>293</v>
      </c>
    </row>
    <row r="92" spans="1:5">
      <c r="A92" s="2">
        <v>15000</v>
      </c>
      <c r="B92" s="95">
        <v>15000</v>
      </c>
    </row>
    <row r="93" spans="1:5">
      <c r="A93" s="2">
        <v>25000</v>
      </c>
      <c r="B93" s="95">
        <v>25000</v>
      </c>
    </row>
    <row r="94" spans="1:5">
      <c r="A94" s="2">
        <v>45000</v>
      </c>
      <c r="B94" s="95">
        <v>45000</v>
      </c>
    </row>
    <row r="95" spans="1:5">
      <c r="A95" s="2">
        <v>125000</v>
      </c>
      <c r="B95" s="95">
        <v>125000</v>
      </c>
    </row>
    <row r="96" spans="1:5">
      <c r="A96" s="71"/>
    </row>
    <row r="98" spans="1:4">
      <c r="A98" t="s">
        <v>294</v>
      </c>
      <c r="C98" t="s">
        <v>297</v>
      </c>
    </row>
    <row r="99" spans="1:4">
      <c r="A99" s="68" t="s">
        <v>295</v>
      </c>
      <c r="B99" s="68" t="s">
        <v>46</v>
      </c>
      <c r="C99" s="6" t="s">
        <v>296</v>
      </c>
      <c r="D99" s="6" t="s">
        <v>298</v>
      </c>
    </row>
    <row r="100" spans="1:4">
      <c r="A100" s="53" t="s">
        <v>3</v>
      </c>
      <c r="B100" s="53">
        <v>25000</v>
      </c>
      <c r="C100" s="2">
        <f>SUM(B100:B104)</f>
        <v>150000</v>
      </c>
      <c r="D100" s="2">
        <f>AVERAGE(B100:B104)</f>
        <v>30000</v>
      </c>
    </row>
    <row r="101" spans="1:4">
      <c r="A101" s="53" t="s">
        <v>5</v>
      </c>
      <c r="B101" s="53">
        <v>30000</v>
      </c>
      <c r="C101" s="2"/>
      <c r="D101" s="2"/>
    </row>
    <row r="102" spans="1:4">
      <c r="A102" s="53" t="s">
        <v>6</v>
      </c>
      <c r="B102" s="53">
        <v>28000</v>
      </c>
      <c r="C102" s="2"/>
      <c r="D102" s="2"/>
    </row>
    <row r="103" spans="1:4">
      <c r="A103" s="53" t="s">
        <v>150</v>
      </c>
      <c r="B103" s="53">
        <v>35000</v>
      </c>
      <c r="C103" s="2"/>
      <c r="D103" s="2"/>
    </row>
    <row r="104" spans="1:4">
      <c r="A104" s="53" t="s">
        <v>151</v>
      </c>
      <c r="B104" s="53">
        <v>32000</v>
      </c>
      <c r="C104" s="2"/>
      <c r="D104" s="2"/>
    </row>
    <row r="107" spans="1:4">
      <c r="A107" t="s">
        <v>299</v>
      </c>
    </row>
    <row r="108" spans="1:4">
      <c r="A108" s="68" t="s">
        <v>23</v>
      </c>
      <c r="B108" s="68" t="s">
        <v>24</v>
      </c>
      <c r="C108" s="6" t="s">
        <v>28</v>
      </c>
    </row>
    <row r="109" spans="1:4">
      <c r="A109" s="53" t="s">
        <v>3</v>
      </c>
      <c r="B109" s="53">
        <v>78</v>
      </c>
      <c r="C109" s="2" t="str">
        <f>IF(B109&gt;=40,"Pass","Fail")</f>
        <v>Pass</v>
      </c>
    </row>
    <row r="110" spans="1:4">
      <c r="A110" s="53" t="s">
        <v>5</v>
      </c>
      <c r="B110" s="53">
        <v>42</v>
      </c>
      <c r="C110" s="2" t="str">
        <f>IF(B110&gt;=40,"Pass","Fail")</f>
        <v>Pass</v>
      </c>
    </row>
    <row r="111" spans="1:4">
      <c r="A111" s="53" t="s">
        <v>6</v>
      </c>
      <c r="B111" s="53">
        <v>91</v>
      </c>
      <c r="C111" s="2" t="str">
        <f t="shared" ref="C111:C112" si="32">IF(B111&gt;=40,"Pass","Fail")</f>
        <v>Pass</v>
      </c>
    </row>
    <row r="112" spans="1:4">
      <c r="A112" s="53" t="s">
        <v>150</v>
      </c>
      <c r="B112" s="53">
        <v>35</v>
      </c>
      <c r="C112" s="2" t="str">
        <f t="shared" si="32"/>
        <v>Fail</v>
      </c>
    </row>
    <row r="115" spans="1:8">
      <c r="A115" t="s">
        <v>300</v>
      </c>
    </row>
    <row r="116" spans="1:8">
      <c r="A116" s="68" t="s">
        <v>295</v>
      </c>
      <c r="B116" s="68" t="s">
        <v>1</v>
      </c>
      <c r="C116" s="6" t="s">
        <v>301</v>
      </c>
    </row>
    <row r="117" spans="1:8">
      <c r="A117" s="53" t="s">
        <v>3</v>
      </c>
      <c r="B117" s="53">
        <v>22</v>
      </c>
      <c r="C117" s="2">
        <f>COUNT(B117:B121)</f>
        <v>4</v>
      </c>
    </row>
    <row r="118" spans="1:8">
      <c r="A118" s="53" t="s">
        <v>5</v>
      </c>
      <c r="B118" s="53">
        <v>25</v>
      </c>
      <c r="C118" s="3"/>
    </row>
    <row r="119" spans="1:8">
      <c r="A119" s="53" t="s">
        <v>6</v>
      </c>
      <c r="B119" s="53"/>
      <c r="C119" s="3"/>
    </row>
    <row r="120" spans="1:8">
      <c r="A120" s="53" t="s">
        <v>150</v>
      </c>
      <c r="B120" s="53">
        <v>28</v>
      </c>
      <c r="C120" s="3"/>
    </row>
    <row r="121" spans="1:8">
      <c r="A121" s="53" t="s">
        <v>151</v>
      </c>
      <c r="B121" s="53">
        <v>24</v>
      </c>
      <c r="C121" s="3"/>
    </row>
    <row r="124" spans="1:8">
      <c r="A124" t="s">
        <v>302</v>
      </c>
      <c r="H124" t="s">
        <v>304</v>
      </c>
    </row>
    <row r="125" spans="1:8">
      <c r="A125" s="68" t="s">
        <v>303</v>
      </c>
      <c r="B125" s="68" t="s">
        <v>0</v>
      </c>
      <c r="C125" s="68" t="s">
        <v>33</v>
      </c>
      <c r="D125" s="68" t="s">
        <v>46</v>
      </c>
      <c r="F125" s="6" t="s">
        <v>303</v>
      </c>
      <c r="G125" s="68" t="s">
        <v>33</v>
      </c>
      <c r="H125" s="68" t="s">
        <v>46</v>
      </c>
    </row>
    <row r="126" spans="1:8">
      <c r="A126" s="53">
        <v>101</v>
      </c>
      <c r="B126" s="53" t="s">
        <v>3</v>
      </c>
      <c r="C126" s="53" t="s">
        <v>36</v>
      </c>
      <c r="D126" s="53">
        <v>25000</v>
      </c>
      <c r="F126" s="2">
        <v>103</v>
      </c>
      <c r="G126" s="2" t="str">
        <f>VLOOKUP(A128,A126:D130,3,FALSE)</f>
        <v>IT</v>
      </c>
      <c r="H126" s="3"/>
    </row>
    <row r="127" spans="1:8">
      <c r="A127" s="53">
        <v>102</v>
      </c>
      <c r="B127" s="53" t="s">
        <v>5</v>
      </c>
      <c r="C127" s="53" t="s">
        <v>34</v>
      </c>
      <c r="D127" s="53">
        <v>30000</v>
      </c>
      <c r="F127" s="2">
        <v>104</v>
      </c>
      <c r="G127" s="3"/>
      <c r="H127" s="2">
        <f>VLOOKUP(F127,A126:D130,4,FALSE)</f>
        <v>35000</v>
      </c>
    </row>
    <row r="128" spans="1:8">
      <c r="A128" s="53">
        <v>103</v>
      </c>
      <c r="B128" s="53" t="s">
        <v>6</v>
      </c>
      <c r="C128" s="53" t="s">
        <v>35</v>
      </c>
      <c r="D128" s="53">
        <v>40000</v>
      </c>
      <c r="F128" s="2"/>
      <c r="G128" s="3"/>
      <c r="H128" s="3"/>
    </row>
    <row r="129" spans="1:8">
      <c r="A129" s="53">
        <v>104</v>
      </c>
      <c r="B129" s="53" t="s">
        <v>150</v>
      </c>
      <c r="C129" s="53" t="s">
        <v>37</v>
      </c>
      <c r="D129" s="53">
        <v>35000</v>
      </c>
      <c r="F129" s="3"/>
      <c r="G129" s="3"/>
      <c r="H129" s="3"/>
    </row>
    <row r="130" spans="1:8">
      <c r="A130" s="53">
        <v>105</v>
      </c>
      <c r="B130" s="53" t="s">
        <v>151</v>
      </c>
      <c r="C130" s="53" t="s">
        <v>36</v>
      </c>
      <c r="D130" s="53">
        <v>28000</v>
      </c>
      <c r="F130" s="3"/>
      <c r="G130" s="3"/>
      <c r="H130" s="3"/>
    </row>
    <row r="133" spans="1:8">
      <c r="A133" t="s">
        <v>305</v>
      </c>
      <c r="G133" t="s">
        <v>395</v>
      </c>
    </row>
    <row r="134" spans="1:8">
      <c r="A134" s="73" t="s">
        <v>311</v>
      </c>
      <c r="B134" s="53" t="s">
        <v>306</v>
      </c>
      <c r="C134" s="53" t="s">
        <v>307</v>
      </c>
      <c r="D134" s="53" t="s">
        <v>308</v>
      </c>
      <c r="E134" s="53" t="s">
        <v>309</v>
      </c>
      <c r="G134" s="73" t="s">
        <v>311</v>
      </c>
      <c r="H134" s="53" t="s">
        <v>308</v>
      </c>
    </row>
    <row r="135" spans="1:8">
      <c r="A135" s="73" t="s">
        <v>36</v>
      </c>
      <c r="B135" s="53">
        <v>50000</v>
      </c>
      <c r="C135" s="53">
        <v>60000</v>
      </c>
      <c r="D135" s="53">
        <v>75000</v>
      </c>
      <c r="E135" s="53">
        <v>80000</v>
      </c>
      <c r="G135" s="73" t="s">
        <v>36</v>
      </c>
      <c r="H135" s="2">
        <f>HLOOKUP(H134,B134:E136,2,FALSE)</f>
        <v>75000</v>
      </c>
    </row>
    <row r="136" spans="1:8">
      <c r="A136" s="73" t="s">
        <v>310</v>
      </c>
      <c r="B136" s="53">
        <v>10000</v>
      </c>
      <c r="C136" s="53">
        <v>12000</v>
      </c>
      <c r="D136" s="53">
        <v>15000</v>
      </c>
      <c r="E136" s="53">
        <v>18000</v>
      </c>
    </row>
    <row r="139" spans="1:8">
      <c r="A139" t="s">
        <v>312</v>
      </c>
      <c r="C139" t="s">
        <v>318</v>
      </c>
    </row>
    <row r="140" spans="1:8">
      <c r="A140" s="73" t="s">
        <v>39</v>
      </c>
      <c r="B140" s="73" t="s">
        <v>11</v>
      </c>
      <c r="C140" s="73" t="s">
        <v>12</v>
      </c>
      <c r="E140" s="73" t="s">
        <v>39</v>
      </c>
      <c r="F140" s="75" t="s">
        <v>12</v>
      </c>
    </row>
    <row r="141" spans="1:8">
      <c r="A141" s="74" t="s">
        <v>313</v>
      </c>
      <c r="B141" s="74" t="s">
        <v>15</v>
      </c>
      <c r="C141" s="74">
        <v>50000</v>
      </c>
      <c r="E141" s="76" t="s">
        <v>315</v>
      </c>
      <c r="F141" s="77">
        <f>_xlfn.XLOOKUP(E141,A141:A144,C141:C144)</f>
        <v>1200</v>
      </c>
      <c r="G141" s="50" t="str">
        <f>_xlfn.XLOOKUP(E141,A141:A144,B141:B144)</f>
        <v>Keyboard</v>
      </c>
    </row>
    <row r="142" spans="1:8">
      <c r="A142" s="74" t="s">
        <v>314</v>
      </c>
      <c r="B142" s="74" t="s">
        <v>16</v>
      </c>
      <c r="C142" s="74">
        <v>800</v>
      </c>
      <c r="E142" s="77" t="s">
        <v>317</v>
      </c>
      <c r="F142" s="77" t="str">
        <f>_xlfn.XLOOKUP(E142,A141:A144,C141:C144,"Product Not Found")</f>
        <v>Product Not Found</v>
      </c>
    </row>
    <row r="143" spans="1:8">
      <c r="A143" s="74" t="s">
        <v>315</v>
      </c>
      <c r="B143" s="74" t="s">
        <v>40</v>
      </c>
      <c r="C143" s="74">
        <v>1200</v>
      </c>
      <c r="E143" s="78"/>
      <c r="F143" s="78"/>
    </row>
    <row r="144" spans="1:8">
      <c r="A144" s="74" t="s">
        <v>316</v>
      </c>
      <c r="B144" s="74" t="s">
        <v>41</v>
      </c>
      <c r="C144" s="74">
        <v>15000</v>
      </c>
      <c r="E144" s="78"/>
      <c r="F144" s="78"/>
    </row>
    <row r="147" spans="1:6">
      <c r="A147" t="s">
        <v>319</v>
      </c>
    </row>
    <row r="148" spans="1:6">
      <c r="A148" s="73" t="s">
        <v>295</v>
      </c>
      <c r="B148" s="79" t="s">
        <v>320</v>
      </c>
    </row>
    <row r="149" spans="1:6">
      <c r="A149" s="74" t="s">
        <v>3</v>
      </c>
      <c r="B149" s="77">
        <f>MATCH("Priya",A149:A153,0)</f>
        <v>3</v>
      </c>
    </row>
    <row r="150" spans="1:6">
      <c r="A150" s="74" t="s">
        <v>5</v>
      </c>
      <c r="B150" s="78"/>
    </row>
    <row r="151" spans="1:6">
      <c r="A151" s="74" t="s">
        <v>6</v>
      </c>
      <c r="B151" s="78"/>
    </row>
    <row r="152" spans="1:6">
      <c r="A152" s="74" t="s">
        <v>150</v>
      </c>
      <c r="B152" s="78"/>
    </row>
    <row r="153" spans="1:6">
      <c r="A153" s="74" t="s">
        <v>151</v>
      </c>
      <c r="B153" s="78"/>
    </row>
    <row r="156" spans="1:6">
      <c r="A156" t="s">
        <v>321</v>
      </c>
      <c r="E156" t="s">
        <v>323</v>
      </c>
    </row>
    <row r="157" spans="1:6">
      <c r="A157" s="73" t="s">
        <v>295</v>
      </c>
      <c r="B157" s="73" t="s">
        <v>46</v>
      </c>
      <c r="C157" s="80" t="s">
        <v>322</v>
      </c>
      <c r="E157" s="75" t="s">
        <v>295</v>
      </c>
      <c r="F157" s="75" t="s">
        <v>46</v>
      </c>
    </row>
    <row r="158" spans="1:6">
      <c r="A158" s="74" t="s">
        <v>3</v>
      </c>
      <c r="B158" s="74">
        <v>25000</v>
      </c>
      <c r="C158" s="77">
        <f>INDEX(B158:B162,3)</f>
        <v>40000</v>
      </c>
      <c r="E158" s="77" t="s">
        <v>150</v>
      </c>
      <c r="F158" s="77">
        <f>INDEX(B158:B162,MATCH(E158,A158:A162,0))</f>
        <v>35000</v>
      </c>
    </row>
    <row r="159" spans="1:6">
      <c r="A159" s="74" t="s">
        <v>5</v>
      </c>
      <c r="B159" s="74">
        <v>30000</v>
      </c>
      <c r="C159" s="78"/>
      <c r="E159" s="3"/>
      <c r="F159" s="3"/>
    </row>
    <row r="160" spans="1:6">
      <c r="A160" s="74" t="s">
        <v>6</v>
      </c>
      <c r="B160" s="74">
        <v>40000</v>
      </c>
      <c r="C160" s="78"/>
      <c r="E160" s="3"/>
      <c r="F160" s="3"/>
    </row>
    <row r="161" spans="1:6">
      <c r="A161" s="74" t="s">
        <v>150</v>
      </c>
      <c r="B161" s="74">
        <v>35000</v>
      </c>
      <c r="C161" s="77">
        <f>INDEX(B158:B162,4)</f>
        <v>35000</v>
      </c>
      <c r="E161" s="3"/>
      <c r="F161" s="3"/>
    </row>
    <row r="162" spans="1:6">
      <c r="A162" s="74" t="s">
        <v>151</v>
      </c>
      <c r="B162" s="74">
        <v>32000</v>
      </c>
      <c r="C162" s="78"/>
      <c r="E162" s="3"/>
      <c r="F162" s="3"/>
    </row>
    <row r="165" spans="1:6">
      <c r="A165" t="s">
        <v>324</v>
      </c>
    </row>
    <row r="166" spans="1:6">
      <c r="A166" s="73" t="s">
        <v>325</v>
      </c>
      <c r="B166" s="73" t="s">
        <v>28</v>
      </c>
      <c r="C166" s="75" t="s">
        <v>328</v>
      </c>
      <c r="D166" s="75" t="s">
        <v>329</v>
      </c>
    </row>
    <row r="167" spans="1:6">
      <c r="A167" s="74">
        <v>0</v>
      </c>
      <c r="B167" s="74" t="s">
        <v>326</v>
      </c>
      <c r="C167" s="77">
        <v>68</v>
      </c>
      <c r="D167" s="77" t="str">
        <f>_xlfn.XLOOKUP(C167,A167:A171,B167:B171,"Not Found",-1)</f>
        <v>B</v>
      </c>
    </row>
    <row r="168" spans="1:6">
      <c r="A168" s="74">
        <v>40</v>
      </c>
      <c r="B168" s="74" t="s">
        <v>125</v>
      </c>
      <c r="C168" s="78"/>
      <c r="D168" s="78"/>
    </row>
    <row r="169" spans="1:6">
      <c r="A169" s="74">
        <v>50</v>
      </c>
      <c r="B169" s="74" t="s">
        <v>327</v>
      </c>
      <c r="C169" s="77">
        <v>79</v>
      </c>
      <c r="D169" s="77" t="str">
        <f>_xlfn.XLOOKUP(C169,A167:A171,B167:B171,"Not Found",-1)</f>
        <v>A</v>
      </c>
    </row>
    <row r="170" spans="1:6">
      <c r="A170" s="74">
        <v>60</v>
      </c>
      <c r="B170" s="74" t="s">
        <v>121</v>
      </c>
      <c r="C170" s="78"/>
      <c r="D170" s="78"/>
    </row>
    <row r="171" spans="1:6">
      <c r="A171" s="74">
        <v>75</v>
      </c>
      <c r="B171" s="74" t="s">
        <v>120</v>
      </c>
      <c r="C171" s="78"/>
      <c r="D171" s="78"/>
    </row>
    <row r="174" spans="1:6">
      <c r="A174" t="s">
        <v>330</v>
      </c>
    </row>
    <row r="175" spans="1:6">
      <c r="A175" s="73" t="s">
        <v>295</v>
      </c>
      <c r="B175" s="73" t="s">
        <v>331</v>
      </c>
      <c r="C175" s="75" t="s">
        <v>332</v>
      </c>
      <c r="D175" s="75" t="s">
        <v>333</v>
      </c>
    </row>
    <row r="176" spans="1:6">
      <c r="A176" s="74" t="s">
        <v>3</v>
      </c>
      <c r="B176" s="82">
        <v>45301</v>
      </c>
      <c r="C176" s="77" t="s">
        <v>67</v>
      </c>
      <c r="D176" s="89">
        <f>_xlfn.XLOOKUP("Amit",A176:A179,B176:B179,"Not",0,-1)</f>
        <v>45407</v>
      </c>
    </row>
    <row r="177" spans="1:6">
      <c r="A177" s="74" t="s">
        <v>5</v>
      </c>
      <c r="B177" s="82">
        <v>45337</v>
      </c>
      <c r="C177" s="77"/>
      <c r="D177" s="89"/>
    </row>
    <row r="178" spans="1:6">
      <c r="A178" s="74" t="s">
        <v>6</v>
      </c>
      <c r="B178" s="82">
        <v>45371</v>
      </c>
      <c r="C178" s="77" t="s">
        <v>6</v>
      </c>
      <c r="D178" s="90">
        <f>_xlfn.XLOOKUP(C178,A176:A179,B176:B179,"Not found",0)</f>
        <v>45371</v>
      </c>
    </row>
    <row r="179" spans="1:6">
      <c r="A179" s="74" t="s">
        <v>3</v>
      </c>
      <c r="B179" s="82">
        <v>45407</v>
      </c>
      <c r="C179" s="77"/>
      <c r="D179" s="77"/>
    </row>
    <row r="182" spans="1:6">
      <c r="A182" t="s">
        <v>334</v>
      </c>
    </row>
    <row r="183" spans="1:6">
      <c r="A183" s="73" t="s">
        <v>11</v>
      </c>
      <c r="B183" s="73" t="s">
        <v>36</v>
      </c>
      <c r="C183" s="73" t="s">
        <v>335</v>
      </c>
      <c r="D183" s="75" t="s">
        <v>392</v>
      </c>
      <c r="E183" s="83" t="s">
        <v>336</v>
      </c>
    </row>
    <row r="184" spans="1:6">
      <c r="A184" s="74" t="s">
        <v>15</v>
      </c>
      <c r="B184" s="74">
        <v>75000</v>
      </c>
      <c r="C184" s="74">
        <v>70000</v>
      </c>
      <c r="D184" s="77" t="str">
        <f>IF(B184&gt;=C184,"Target Achieved","Target Not Achieved")</f>
        <v>Target Achieved</v>
      </c>
      <c r="E184" s="81"/>
    </row>
    <row r="185" spans="1:6">
      <c r="A185" s="74" t="s">
        <v>16</v>
      </c>
      <c r="B185" s="74">
        <v>50000</v>
      </c>
      <c r="C185" s="74">
        <v>60000</v>
      </c>
      <c r="D185" s="77" t="str">
        <f t="shared" ref="D185:D187" si="33">IF(B185&gt;=C185,"Target Achieved","Target Not Achieved")</f>
        <v>Target Not Achieved</v>
      </c>
      <c r="E185" s="81"/>
    </row>
    <row r="186" spans="1:6">
      <c r="A186" s="74" t="s">
        <v>41</v>
      </c>
      <c r="B186" s="74">
        <v>90000</v>
      </c>
      <c r="C186" s="74">
        <v>80000</v>
      </c>
      <c r="D186" s="77" t="str">
        <f t="shared" si="33"/>
        <v>Target Achieved</v>
      </c>
      <c r="E186" s="81"/>
    </row>
    <row r="187" spans="1:6">
      <c r="A187" s="74" t="s">
        <v>40</v>
      </c>
      <c r="B187" s="74">
        <v>45000</v>
      </c>
      <c r="C187" s="74">
        <v>50000</v>
      </c>
      <c r="D187" s="77" t="str">
        <f t="shared" si="33"/>
        <v>Target Not Achieved</v>
      </c>
      <c r="E187" s="81"/>
    </row>
    <row r="190" spans="1:6">
      <c r="A190" t="s">
        <v>337</v>
      </c>
    </row>
    <row r="191" spans="1:6">
      <c r="A191" s="73" t="s">
        <v>303</v>
      </c>
      <c r="B191" s="73" t="s">
        <v>0</v>
      </c>
      <c r="C191" s="73" t="s">
        <v>46</v>
      </c>
      <c r="D191" s="81"/>
      <c r="E191" s="73" t="s">
        <v>303</v>
      </c>
      <c r="F191" s="73" t="s">
        <v>46</v>
      </c>
    </row>
    <row r="192" spans="1:6">
      <c r="A192" s="74">
        <v>101</v>
      </c>
      <c r="B192" s="74" t="s">
        <v>3</v>
      </c>
      <c r="C192" s="74">
        <v>25000</v>
      </c>
      <c r="D192" s="81"/>
      <c r="E192" s="77">
        <v>103</v>
      </c>
      <c r="F192" s="77" t="str">
        <f>IF(VLOOKUP(E192,A192:C195,3,FALSE)&gt;=50000,"High Salary","Normal Salary")</f>
        <v>High Salary</v>
      </c>
    </row>
    <row r="193" spans="1:7">
      <c r="A193" s="74">
        <v>102</v>
      </c>
      <c r="B193" s="74" t="s">
        <v>5</v>
      </c>
      <c r="C193" s="74">
        <v>45000</v>
      </c>
      <c r="D193" s="81"/>
      <c r="E193" s="78"/>
      <c r="F193" s="78"/>
    </row>
    <row r="194" spans="1:7">
      <c r="A194" s="74">
        <v>103</v>
      </c>
      <c r="B194" s="74" t="s">
        <v>6</v>
      </c>
      <c r="C194" s="74">
        <v>60000</v>
      </c>
      <c r="D194" s="81"/>
      <c r="E194" s="78"/>
      <c r="F194" s="78"/>
    </row>
    <row r="195" spans="1:7">
      <c r="A195" s="74">
        <v>104</v>
      </c>
      <c r="B195" s="74" t="s">
        <v>150</v>
      </c>
      <c r="C195" s="74">
        <v>35000</v>
      </c>
      <c r="D195" s="81"/>
      <c r="E195" s="78"/>
      <c r="F195" s="78"/>
    </row>
    <row r="198" spans="1:7">
      <c r="A198" t="s">
        <v>338</v>
      </c>
    </row>
    <row r="199" spans="1:7">
      <c r="A199" s="73" t="s">
        <v>39</v>
      </c>
      <c r="B199" s="73" t="s">
        <v>11</v>
      </c>
      <c r="C199" s="73" t="s">
        <v>339</v>
      </c>
      <c r="D199" s="73" t="s">
        <v>12</v>
      </c>
      <c r="F199" s="73" t="s">
        <v>344</v>
      </c>
      <c r="G199" s="75" t="s">
        <v>339</v>
      </c>
    </row>
    <row r="200" spans="1:7">
      <c r="A200" s="74" t="s">
        <v>313</v>
      </c>
      <c r="B200" s="74" t="s">
        <v>15</v>
      </c>
      <c r="C200" s="74" t="s">
        <v>340</v>
      </c>
      <c r="D200" s="74">
        <v>50000</v>
      </c>
      <c r="F200" s="77" t="s">
        <v>316</v>
      </c>
      <c r="G200" s="77" t="str">
        <f>INDEX(C200:C204,MATCH(F200,A200:A204,0))</f>
        <v>Accessories</v>
      </c>
    </row>
    <row r="201" spans="1:7">
      <c r="A201" s="74" t="s">
        <v>314</v>
      </c>
      <c r="B201" s="74" t="s">
        <v>16</v>
      </c>
      <c r="C201" s="74" t="s">
        <v>341</v>
      </c>
      <c r="D201" s="74">
        <v>800</v>
      </c>
      <c r="F201" s="77"/>
      <c r="G201" s="77"/>
    </row>
    <row r="202" spans="1:7">
      <c r="A202" s="74" t="s">
        <v>315</v>
      </c>
      <c r="B202" s="74" t="s">
        <v>41</v>
      </c>
      <c r="C202" s="74" t="s">
        <v>340</v>
      </c>
      <c r="D202" s="74">
        <v>15000</v>
      </c>
      <c r="F202" s="77"/>
      <c r="G202" s="77"/>
    </row>
    <row r="203" spans="1:7">
      <c r="A203" s="74" t="s">
        <v>316</v>
      </c>
      <c r="B203" s="74" t="s">
        <v>40</v>
      </c>
      <c r="C203" s="74" t="s">
        <v>341</v>
      </c>
      <c r="D203" s="74">
        <v>1200</v>
      </c>
      <c r="F203" s="77"/>
      <c r="G203" s="77"/>
    </row>
    <row r="204" spans="1:7">
      <c r="A204" s="74" t="s">
        <v>342</v>
      </c>
      <c r="B204" s="74" t="s">
        <v>343</v>
      </c>
      <c r="C204" s="74" t="s">
        <v>340</v>
      </c>
      <c r="D204" s="74">
        <v>12000</v>
      </c>
      <c r="F204" s="77"/>
      <c r="G204" s="77"/>
    </row>
    <row r="207" spans="1:7">
      <c r="A207" t="s">
        <v>345</v>
      </c>
    </row>
    <row r="208" spans="1:7">
      <c r="A208" s="73" t="s">
        <v>346</v>
      </c>
      <c r="B208" s="73" t="s">
        <v>347</v>
      </c>
      <c r="C208" s="81"/>
      <c r="D208" s="75" t="s">
        <v>348</v>
      </c>
      <c r="E208" s="75" t="s">
        <v>347</v>
      </c>
    </row>
    <row r="209" spans="1:6">
      <c r="A209" s="74">
        <v>0</v>
      </c>
      <c r="B209" s="84">
        <v>0.02</v>
      </c>
      <c r="C209" s="81"/>
      <c r="D209" s="77">
        <v>67000</v>
      </c>
      <c r="E209" s="91">
        <f>_xlfn.XLOOKUP(D209,A209:A213,B209:B213,"Value not found",-1)</f>
        <v>0.1</v>
      </c>
    </row>
    <row r="210" spans="1:6">
      <c r="A210" s="74">
        <v>10000</v>
      </c>
      <c r="B210" s="84">
        <v>0.05</v>
      </c>
      <c r="C210" s="81"/>
      <c r="D210" s="78"/>
      <c r="E210" s="78"/>
    </row>
    <row r="211" spans="1:6">
      <c r="A211" s="74">
        <v>25000</v>
      </c>
      <c r="B211" s="84">
        <v>0.08</v>
      </c>
      <c r="C211" s="81"/>
      <c r="D211" s="78"/>
      <c r="E211" s="78"/>
    </row>
    <row r="212" spans="1:6">
      <c r="A212" s="74">
        <v>50000</v>
      </c>
      <c r="B212" s="84">
        <v>0.1</v>
      </c>
      <c r="C212" s="81"/>
      <c r="D212" s="78"/>
      <c r="E212" s="78"/>
    </row>
    <row r="213" spans="1:6">
      <c r="A213" s="74">
        <v>100000</v>
      </c>
      <c r="B213" s="84">
        <v>0.15</v>
      </c>
      <c r="C213" s="81"/>
      <c r="D213" s="78"/>
      <c r="E213" s="78"/>
    </row>
    <row r="216" spans="1:6">
      <c r="A216" t="s">
        <v>349</v>
      </c>
    </row>
    <row r="217" spans="1:6">
      <c r="A217" s="73" t="s">
        <v>350</v>
      </c>
      <c r="B217" s="73" t="s">
        <v>351</v>
      </c>
      <c r="C217" s="73" t="s">
        <v>352</v>
      </c>
      <c r="D217" s="50"/>
      <c r="E217" s="75" t="s">
        <v>350</v>
      </c>
      <c r="F217" s="75" t="s">
        <v>356</v>
      </c>
    </row>
    <row r="218" spans="1:6">
      <c r="A218" s="74">
        <v>1001</v>
      </c>
      <c r="B218" s="74" t="s">
        <v>3</v>
      </c>
      <c r="C218" s="74" t="s">
        <v>353</v>
      </c>
      <c r="D218" s="50"/>
      <c r="E218" s="77">
        <v>1001</v>
      </c>
      <c r="F218" s="77" t="str">
        <f>_xlfn.XLOOKUP(E218,A218:A222,C218:C222,"Not Found",0,-1)</f>
        <v>Delivered</v>
      </c>
    </row>
    <row r="219" spans="1:6">
      <c r="A219" s="74">
        <v>1002</v>
      </c>
      <c r="B219" s="74" t="s">
        <v>5</v>
      </c>
      <c r="C219" s="74" t="s">
        <v>354</v>
      </c>
      <c r="D219" s="50"/>
      <c r="E219" s="77"/>
      <c r="F219" s="77"/>
    </row>
    <row r="220" spans="1:6">
      <c r="A220" s="74">
        <v>1001</v>
      </c>
      <c r="B220" s="74" t="s">
        <v>3</v>
      </c>
      <c r="C220" s="74" t="s">
        <v>355</v>
      </c>
      <c r="D220" s="50"/>
      <c r="E220" s="77"/>
      <c r="F220" s="77"/>
    </row>
    <row r="221" spans="1:6">
      <c r="A221" s="74">
        <v>1003</v>
      </c>
      <c r="B221" s="74" t="s">
        <v>6</v>
      </c>
      <c r="C221" s="74" t="s">
        <v>353</v>
      </c>
      <c r="D221" s="50"/>
      <c r="E221" s="77"/>
      <c r="F221" s="77"/>
    </row>
    <row r="222" spans="1:6">
      <c r="A222" s="74">
        <v>1001</v>
      </c>
      <c r="B222" s="74" t="s">
        <v>3</v>
      </c>
      <c r="C222" s="74" t="s">
        <v>354</v>
      </c>
      <c r="D222" s="50"/>
      <c r="E222" s="77"/>
      <c r="F222" s="77"/>
    </row>
    <row r="225" spans="1:7">
      <c r="A225" t="s">
        <v>357</v>
      </c>
    </row>
    <row r="226" spans="1:7">
      <c r="A226" s="73" t="s">
        <v>303</v>
      </c>
      <c r="B226" s="73" t="s">
        <v>0</v>
      </c>
      <c r="C226" s="73" t="s">
        <v>46</v>
      </c>
      <c r="D226" s="50"/>
      <c r="E226" s="75" t="s">
        <v>358</v>
      </c>
      <c r="F226" s="75" t="s">
        <v>0</v>
      </c>
      <c r="G226" s="50"/>
    </row>
    <row r="227" spans="1:7">
      <c r="A227" s="74">
        <v>101</v>
      </c>
      <c r="B227" s="74" t="s">
        <v>3</v>
      </c>
      <c r="C227" s="74">
        <v>25000</v>
      </c>
      <c r="D227" s="50"/>
      <c r="E227" s="85">
        <v>103</v>
      </c>
      <c r="F227" s="77" t="str">
        <f>VLOOKUP(E227,A227:C229,2,FALSE)</f>
        <v>Priya</v>
      </c>
      <c r="G227" s="50" t="s">
        <v>359</v>
      </c>
    </row>
    <row r="228" spans="1:7">
      <c r="A228" s="74">
        <v>102</v>
      </c>
      <c r="B228" s="74" t="s">
        <v>5</v>
      </c>
      <c r="C228" s="74">
        <v>30000</v>
      </c>
      <c r="D228" s="50"/>
      <c r="E228" s="77"/>
      <c r="F228" s="77" t="str">
        <f>_xlfn.XLOOKUP(E227,A227:A229,B227:B229)</f>
        <v>Priya</v>
      </c>
      <c r="G228" s="50" t="s">
        <v>360</v>
      </c>
    </row>
    <row r="229" spans="1:7">
      <c r="A229" s="74">
        <v>103</v>
      </c>
      <c r="B229" s="74" t="s">
        <v>6</v>
      </c>
      <c r="C229" s="74">
        <v>40000</v>
      </c>
      <c r="D229" s="50"/>
      <c r="E229" s="50"/>
      <c r="F229" s="50"/>
      <c r="G229" s="50" t="s">
        <v>361</v>
      </c>
    </row>
    <row r="232" spans="1:7">
      <c r="A232" t="s">
        <v>362</v>
      </c>
    </row>
    <row r="233" spans="1:7">
      <c r="A233" s="75" t="s">
        <v>363</v>
      </c>
      <c r="B233" s="81"/>
      <c r="C233" s="75" t="s">
        <v>358</v>
      </c>
      <c r="D233" s="75" t="s">
        <v>46</v>
      </c>
      <c r="E233" s="81"/>
    </row>
    <row r="234" spans="1:7">
      <c r="A234" s="81"/>
      <c r="B234" s="81"/>
      <c r="C234" s="77">
        <v>102</v>
      </c>
      <c r="D234" s="77">
        <f>INDEX(C227:C229,MATCH(C234,A227:A229,0))</f>
        <v>30000</v>
      </c>
      <c r="E234" s="50" t="s">
        <v>364</v>
      </c>
    </row>
    <row r="235" spans="1:7">
      <c r="A235" s="81"/>
      <c r="B235" s="81"/>
      <c r="C235" s="77"/>
      <c r="D235" s="77">
        <f>_xlfn.XLOOKUP(C234,A227:A229,C227:C229)</f>
        <v>30000</v>
      </c>
      <c r="E235" s="50" t="s">
        <v>365</v>
      </c>
    </row>
    <row r="236" spans="1:7">
      <c r="A236" s="81"/>
      <c r="B236" s="81"/>
      <c r="C236" s="78"/>
      <c r="D236" s="78"/>
      <c r="E236" s="81"/>
    </row>
    <row r="239" spans="1:7">
      <c r="A239" t="s">
        <v>368</v>
      </c>
    </row>
    <row r="240" spans="1:7">
      <c r="A240" s="73" t="s">
        <v>303</v>
      </c>
      <c r="B240" s="73" t="s">
        <v>0</v>
      </c>
      <c r="C240" s="73" t="s">
        <v>33</v>
      </c>
      <c r="D240" s="81"/>
      <c r="E240" s="75" t="s">
        <v>303</v>
      </c>
      <c r="F240" s="75" t="s">
        <v>0</v>
      </c>
      <c r="G240" s="75" t="s">
        <v>369</v>
      </c>
    </row>
    <row r="241" spans="1:7">
      <c r="A241" s="74">
        <v>101</v>
      </c>
      <c r="B241" s="74" t="s">
        <v>3</v>
      </c>
      <c r="C241" s="74" t="s">
        <v>36</v>
      </c>
      <c r="D241" s="81"/>
      <c r="E241" s="77">
        <v>103</v>
      </c>
      <c r="F241" s="77" t="str">
        <f>VLOOKUP(E241,A241:C243,2,FALSE)</f>
        <v>Priya</v>
      </c>
      <c r="G241" s="77" t="s">
        <v>370</v>
      </c>
    </row>
    <row r="242" spans="1:7">
      <c r="A242" s="74">
        <v>102</v>
      </c>
      <c r="B242" s="74" t="s">
        <v>5</v>
      </c>
      <c r="C242" s="74" t="s">
        <v>34</v>
      </c>
      <c r="D242" s="81"/>
      <c r="E242" s="77"/>
      <c r="F242" s="77"/>
      <c r="G242" s="77"/>
    </row>
    <row r="243" spans="1:7">
      <c r="A243" s="74">
        <v>103</v>
      </c>
      <c r="B243" s="74" t="s">
        <v>6</v>
      </c>
      <c r="C243" s="74" t="s">
        <v>35</v>
      </c>
      <c r="D243" s="81"/>
      <c r="E243" s="77"/>
      <c r="F243" s="77"/>
      <c r="G243" s="77"/>
    </row>
    <row r="246" spans="1:7">
      <c r="A246" t="s">
        <v>371</v>
      </c>
    </row>
    <row r="247" spans="1:7">
      <c r="A247" s="73" t="s">
        <v>372</v>
      </c>
      <c r="B247" s="73" t="s">
        <v>373</v>
      </c>
      <c r="C247" s="50"/>
      <c r="D247" s="75" t="s">
        <v>378</v>
      </c>
      <c r="E247" s="75" t="s">
        <v>373</v>
      </c>
    </row>
    <row r="248" spans="1:7">
      <c r="A248" s="74">
        <v>0</v>
      </c>
      <c r="B248" s="74" t="s">
        <v>374</v>
      </c>
      <c r="C248" s="50"/>
      <c r="D248" s="77">
        <v>72000</v>
      </c>
      <c r="E248" s="77" t="str">
        <f>_xlfn.XLOOKUP(D248,A248:A251,B248:B251,"Not Found",-1)</f>
        <v>High</v>
      </c>
    </row>
    <row r="249" spans="1:7">
      <c r="A249" s="74">
        <v>25000</v>
      </c>
      <c r="B249" s="74" t="s">
        <v>375</v>
      </c>
      <c r="C249" s="50"/>
      <c r="D249" s="77"/>
      <c r="E249" s="77"/>
    </row>
    <row r="250" spans="1:7">
      <c r="A250" s="74">
        <v>50000</v>
      </c>
      <c r="B250" s="74" t="s">
        <v>376</v>
      </c>
      <c r="C250" s="50"/>
      <c r="D250" s="77"/>
      <c r="E250" s="77"/>
    </row>
    <row r="251" spans="1:7">
      <c r="A251" s="74">
        <v>100000</v>
      </c>
      <c r="B251" s="74" t="s">
        <v>377</v>
      </c>
      <c r="C251" s="50"/>
      <c r="D251" s="77"/>
      <c r="E251" s="77"/>
    </row>
    <row r="254" spans="1:7">
      <c r="A254" t="s">
        <v>379</v>
      </c>
    </row>
    <row r="255" spans="1:7">
      <c r="A255" s="73" t="s">
        <v>351</v>
      </c>
      <c r="B255" s="73" t="s">
        <v>380</v>
      </c>
      <c r="C255" s="73" t="s">
        <v>73</v>
      </c>
      <c r="D255" s="81"/>
      <c r="E255" s="73" t="s">
        <v>351</v>
      </c>
      <c r="F255" s="75" t="s">
        <v>381</v>
      </c>
    </row>
    <row r="256" spans="1:7">
      <c r="A256" s="74" t="s">
        <v>3</v>
      </c>
      <c r="B256" s="87">
        <v>45658</v>
      </c>
      <c r="C256" s="74">
        <v>5000</v>
      </c>
      <c r="D256" s="81"/>
      <c r="E256" s="76" t="s">
        <v>3</v>
      </c>
      <c r="F256" s="77">
        <f>_xlfn.XLOOKUP(E256,A256:A260,C256:C260,"Not Found",0,-1)</f>
        <v>12000</v>
      </c>
    </row>
    <row r="257" spans="1:8">
      <c r="A257" s="74" t="s">
        <v>5</v>
      </c>
      <c r="B257" s="87">
        <v>45662</v>
      </c>
      <c r="C257" s="74">
        <v>7000</v>
      </c>
      <c r="D257" s="81"/>
      <c r="E257" s="78"/>
      <c r="F257" s="78"/>
    </row>
    <row r="258" spans="1:8">
      <c r="A258" s="74" t="s">
        <v>3</v>
      </c>
      <c r="B258" s="87">
        <v>45703</v>
      </c>
      <c r="C258" s="74">
        <v>9000</v>
      </c>
      <c r="D258" s="81"/>
      <c r="E258" s="78"/>
      <c r="F258" s="78"/>
    </row>
    <row r="259" spans="1:8">
      <c r="A259" s="74" t="s">
        <v>3</v>
      </c>
      <c r="B259" s="87">
        <v>45736</v>
      </c>
      <c r="C259" s="74">
        <v>12000</v>
      </c>
      <c r="D259" s="81"/>
      <c r="E259" s="78"/>
      <c r="F259" s="78"/>
    </row>
    <row r="260" spans="1:8">
      <c r="A260" s="74" t="s">
        <v>5</v>
      </c>
      <c r="B260" s="87">
        <v>45741</v>
      </c>
      <c r="C260" s="74">
        <v>8000</v>
      </c>
      <c r="D260" s="81"/>
      <c r="E260" s="78"/>
      <c r="F260" s="78"/>
    </row>
    <row r="263" spans="1:8">
      <c r="A263" t="s">
        <v>382</v>
      </c>
    </row>
    <row r="264" spans="1:8">
      <c r="A264" s="68" t="s">
        <v>303</v>
      </c>
      <c r="B264" s="68" t="s">
        <v>0</v>
      </c>
      <c r="C264" s="68" t="s">
        <v>33</v>
      </c>
      <c r="D264" s="68" t="s">
        <v>46</v>
      </c>
      <c r="E264" s="43"/>
      <c r="F264" s="68" t="s">
        <v>303</v>
      </c>
      <c r="G264" s="6" t="s">
        <v>46</v>
      </c>
    </row>
    <row r="265" spans="1:8">
      <c r="A265" s="53">
        <v>101</v>
      </c>
      <c r="B265" s="53" t="s">
        <v>3</v>
      </c>
      <c r="C265" s="53" t="s">
        <v>36</v>
      </c>
      <c r="D265" s="53">
        <v>25000</v>
      </c>
      <c r="E265" s="43"/>
      <c r="F265" s="92">
        <v>103</v>
      </c>
      <c r="G265" s="2" t="str">
        <f>IF(_xlfn.XLOOKUP(F265,A265:A268,D265:D268,"Not Found",0)&gt;=50000,"Eligible for Bonus","Not Eligible")</f>
        <v>Eligible for Bonus</v>
      </c>
      <c r="H265" s="43"/>
    </row>
    <row r="266" spans="1:8">
      <c r="A266" s="53">
        <v>102</v>
      </c>
      <c r="B266" s="53" t="s">
        <v>5</v>
      </c>
      <c r="C266" s="53" t="s">
        <v>34</v>
      </c>
      <c r="D266" s="53">
        <v>45000</v>
      </c>
      <c r="E266" s="43"/>
      <c r="F266" s="2"/>
      <c r="G266" s="2"/>
      <c r="H266" s="43"/>
    </row>
    <row r="267" spans="1:8">
      <c r="A267" s="53">
        <v>103</v>
      </c>
      <c r="B267" s="53" t="s">
        <v>6</v>
      </c>
      <c r="C267" s="53" t="s">
        <v>35</v>
      </c>
      <c r="D267" s="53">
        <v>60000</v>
      </c>
      <c r="E267" s="43"/>
      <c r="F267" s="2"/>
      <c r="G267" s="2"/>
    </row>
    <row r="268" spans="1:8">
      <c r="A268" s="53">
        <v>104</v>
      </c>
      <c r="B268" s="53" t="s">
        <v>150</v>
      </c>
      <c r="C268" s="53" t="s">
        <v>37</v>
      </c>
      <c r="D268" s="53">
        <v>55000</v>
      </c>
      <c r="E268" s="43"/>
      <c r="F268" s="2"/>
      <c r="G268" s="2"/>
    </row>
    <row r="271" spans="1:8">
      <c r="A271" t="s">
        <v>383</v>
      </c>
    </row>
    <row r="272" spans="1:8">
      <c r="A272" s="68" t="s">
        <v>303</v>
      </c>
      <c r="B272" s="68" t="s">
        <v>295</v>
      </c>
      <c r="C272" s="68" t="s">
        <v>33</v>
      </c>
      <c r="D272" s="68" t="s">
        <v>36</v>
      </c>
      <c r="E272" s="68" t="s">
        <v>335</v>
      </c>
      <c r="F272" s="68" t="s">
        <v>386</v>
      </c>
      <c r="G272" s="68" t="s">
        <v>389</v>
      </c>
    </row>
    <row r="273" spans="1:7">
      <c r="A273" s="53">
        <v>101</v>
      </c>
      <c r="B273" s="53" t="s">
        <v>3</v>
      </c>
      <c r="C273" s="53" t="s">
        <v>36</v>
      </c>
      <c r="D273" s="53">
        <v>85000</v>
      </c>
      <c r="E273" s="2">
        <f>_xlfn.XLOOKUP(C273,$A$280:$A$283,$B$280:$B$283)</f>
        <v>80000</v>
      </c>
      <c r="F273" s="2" t="str">
        <f>IF(D273&gt;=E273,"Target Achieved","Target Not Achieved")</f>
        <v>Target Achieved</v>
      </c>
      <c r="G273" s="2">
        <f>IF(F273="Target Achieved",D273*10%,0)</f>
        <v>8500</v>
      </c>
    </row>
    <row r="274" spans="1:7">
      <c r="A274" s="53">
        <v>102</v>
      </c>
      <c r="B274" s="53" t="s">
        <v>5</v>
      </c>
      <c r="C274" s="53" t="s">
        <v>34</v>
      </c>
      <c r="D274" s="53">
        <v>45000</v>
      </c>
      <c r="E274" s="2">
        <f t="shared" ref="E274:E277" si="34">_xlfn.XLOOKUP(C274,$A$280:$A$283,$B$280:$B$283)</f>
        <v>50000</v>
      </c>
      <c r="F274" s="2" t="str">
        <f>IF(D274&gt;=E274,"Target Achieved","Target Not Achieved")</f>
        <v>Target Not Achieved</v>
      </c>
      <c r="G274" s="2">
        <f>IF(F274="Target Achieved",D274*10%,0)</f>
        <v>0</v>
      </c>
    </row>
    <row r="275" spans="1:7">
      <c r="A275" s="53">
        <v>103</v>
      </c>
      <c r="B275" s="53" t="s">
        <v>6</v>
      </c>
      <c r="C275" s="53" t="s">
        <v>35</v>
      </c>
      <c r="D275" s="53">
        <v>120000</v>
      </c>
      <c r="E275" s="2">
        <f t="shared" si="34"/>
        <v>100000</v>
      </c>
      <c r="F275" s="2" t="str">
        <f t="shared" ref="F275:F277" si="35">IF(D275&gt;=E275,"Target Achieved","Target Not Achieved")</f>
        <v>Target Achieved</v>
      </c>
      <c r="G275" s="2">
        <f t="shared" ref="G275:G277" si="36">IF(F275="Target Achieved",D275*10%,0)</f>
        <v>12000</v>
      </c>
    </row>
    <row r="276" spans="1:7">
      <c r="A276" s="53">
        <v>104</v>
      </c>
      <c r="B276" s="53" t="s">
        <v>150</v>
      </c>
      <c r="C276" s="53" t="s">
        <v>37</v>
      </c>
      <c r="D276" s="53">
        <v>65000</v>
      </c>
      <c r="E276" s="2">
        <f t="shared" si="34"/>
        <v>70000</v>
      </c>
      <c r="F276" s="2" t="str">
        <f t="shared" si="35"/>
        <v>Target Not Achieved</v>
      </c>
      <c r="G276" s="2">
        <f t="shared" si="36"/>
        <v>0</v>
      </c>
    </row>
    <row r="277" spans="1:7">
      <c r="A277" s="53">
        <v>105</v>
      </c>
      <c r="B277" s="53" t="s">
        <v>151</v>
      </c>
      <c r="C277" s="53" t="s">
        <v>36</v>
      </c>
      <c r="D277" s="53">
        <v>95000</v>
      </c>
      <c r="E277" s="2">
        <f t="shared" si="34"/>
        <v>80000</v>
      </c>
      <c r="F277" s="2" t="str">
        <f t="shared" si="35"/>
        <v>Target Achieved</v>
      </c>
      <c r="G277" s="2">
        <f t="shared" si="36"/>
        <v>9500</v>
      </c>
    </row>
    <row r="279" spans="1:7">
      <c r="A279" s="68" t="s">
        <v>33</v>
      </c>
      <c r="B279" s="68" t="s">
        <v>335</v>
      </c>
    </row>
    <row r="280" spans="1:7">
      <c r="A280" s="53" t="s">
        <v>36</v>
      </c>
      <c r="B280" s="53">
        <v>80000</v>
      </c>
    </row>
    <row r="281" spans="1:7">
      <c r="A281" s="53" t="s">
        <v>34</v>
      </c>
      <c r="B281" s="53">
        <v>50000</v>
      </c>
    </row>
    <row r="282" spans="1:7">
      <c r="A282" s="53" t="s">
        <v>35</v>
      </c>
      <c r="B282" s="53">
        <v>100000</v>
      </c>
    </row>
    <row r="283" spans="1:7">
      <c r="A283" s="53" t="s">
        <v>37</v>
      </c>
      <c r="B283" s="53">
        <v>70000</v>
      </c>
    </row>
    <row r="285" spans="1:7">
      <c r="A285" t="s">
        <v>391</v>
      </c>
    </row>
    <row r="286" spans="1:7">
      <c r="A286" t="s">
        <v>384</v>
      </c>
    </row>
    <row r="287" spans="1:7">
      <c r="A287" t="s">
        <v>385</v>
      </c>
    </row>
    <row r="288" spans="1:7">
      <c r="A288" s="88" t="s">
        <v>390</v>
      </c>
    </row>
    <row r="289" spans="1:1">
      <c r="A289" s="63" t="s">
        <v>387</v>
      </c>
    </row>
    <row r="290" spans="1:1">
      <c r="A290" s="63" t="s">
        <v>388</v>
      </c>
    </row>
  </sheetData>
  <conditionalFormatting sqref="A134:A135">
    <cfRule type="duplicateValues" dxfId="1" priority="2"/>
  </conditionalFormatting>
  <conditionalFormatting sqref="G134:G135">
    <cfRule type="duplicateValues" dxfId="0" priority="1"/>
  </conditionalFormatting>
  <hyperlinks>
    <hyperlink ref="C43" r:id="rId1" display="mailto:amit@gmail.com" xr:uid="{282F6149-F811-445B-8796-446EFD11248E}"/>
    <hyperlink ref="C44" r:id="rId2" display="mailto:rahul@gmail.com" xr:uid="{F0E1C861-D0F0-4549-B20C-EBF5AD2E49BC}"/>
    <hyperlink ref="C45" r:id="rId3" display="mailto:priya@gmail.com" xr:uid="{D431F692-0796-48CE-AD6A-577F75F21F86}"/>
    <hyperlink ref="C46" r:id="rId4" display="mailto:kunal@gmail.com" xr:uid="{FAFE28FA-DDCC-4E15-B8C2-A31031486EE4}"/>
    <hyperlink ref="C47" r:id="rId5" display="mailto:sneha@gmail.com" xr:uid="{4ABA375A-A8A8-4AA6-93A2-A783DCF7B714}"/>
    <hyperlink ref="C48" r:id="rId6" display="mailto:ravi@gmail.com" xr:uid="{7F9279A5-64FF-47C8-9A2D-3AF8A4D83A88}"/>
    <hyperlink ref="C49" r:id="rId7" display="mailto:neha@gmail.com" xr:uid="{2DD0EA83-BC4C-4CCD-9876-0B0C5054FF46}"/>
    <hyperlink ref="C50" r:id="rId8" display="mailto:arjun@gmail.com" xr:uid="{90ADDEBF-B61C-410D-ADB2-909E3E54B8E5}"/>
  </hyperlinks>
  <pageMargins left="0.7" right="0.7" top="0.75" bottom="0.75" header="0.3" footer="0.3"/>
  <pageSetup orientation="portrait" r:id="rId9"/>
  <ignoredErrors>
    <ignoredError sqref="S29:S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8831-9A70-4458-A0CF-85C1BEA4DD3B}">
  <dimension ref="A1:J134"/>
  <sheetViews>
    <sheetView topLeftCell="A114" zoomScale="110" zoomScaleNormal="110" workbookViewId="0">
      <selection activeCell="G7" sqref="G7"/>
    </sheetView>
  </sheetViews>
  <sheetFormatPr defaultRowHeight="15"/>
  <cols>
    <col min="1" max="1" width="13.42578125" customWidth="1"/>
    <col min="2" max="2" width="12.28515625" customWidth="1"/>
    <col min="3" max="3" width="18" customWidth="1"/>
    <col min="4" max="4" width="15.140625" customWidth="1"/>
    <col min="5" max="5" width="17.5703125" customWidth="1"/>
    <col min="6" max="6" width="20.140625" customWidth="1"/>
    <col min="7" max="7" width="16.85546875" customWidth="1"/>
    <col min="8" max="8" width="14" customWidth="1"/>
    <col min="9" max="9" width="6.85546875" customWidth="1"/>
  </cols>
  <sheetData>
    <row r="1" spans="1:7">
      <c r="A1" s="96" t="s">
        <v>396</v>
      </c>
      <c r="B1" s="96"/>
      <c r="C1" s="96"/>
      <c r="D1" s="96"/>
      <c r="E1" s="96"/>
      <c r="F1" s="96"/>
    </row>
    <row r="3" spans="1:7">
      <c r="A3" t="s">
        <v>397</v>
      </c>
    </row>
    <row r="5" spans="1:7">
      <c r="A5" s="97" t="s">
        <v>11</v>
      </c>
      <c r="B5" s="97" t="s">
        <v>398</v>
      </c>
      <c r="C5" s="97" t="s">
        <v>399</v>
      </c>
      <c r="D5" s="97" t="s">
        <v>400</v>
      </c>
      <c r="E5" s="99" t="s">
        <v>401</v>
      </c>
    </row>
    <row r="6" spans="1:7">
      <c r="A6" s="74" t="s">
        <v>15</v>
      </c>
      <c r="B6" s="74">
        <v>50000</v>
      </c>
      <c r="C6" s="74">
        <v>55000</v>
      </c>
      <c r="D6" s="74">
        <v>60000</v>
      </c>
      <c r="E6" s="77">
        <f>SUM(B6:D6)</f>
        <v>165000</v>
      </c>
      <c r="G6" t="s">
        <v>470</v>
      </c>
    </row>
    <row r="7" spans="1:7">
      <c r="A7" s="74" t="s">
        <v>225</v>
      </c>
      <c r="B7" s="74">
        <v>30000</v>
      </c>
      <c r="C7" s="74">
        <v>35000</v>
      </c>
      <c r="D7" s="74">
        <v>40000</v>
      </c>
      <c r="E7" s="77">
        <f>SUM(B7:D7)</f>
        <v>105000</v>
      </c>
      <c r="G7" s="103" t="s">
        <v>471</v>
      </c>
    </row>
    <row r="8" spans="1:7">
      <c r="A8" s="74" t="s">
        <v>229</v>
      </c>
      <c r="B8" s="74">
        <v>20000</v>
      </c>
      <c r="C8" s="74">
        <v>25000</v>
      </c>
      <c r="D8" s="74">
        <v>28000</v>
      </c>
      <c r="E8" s="77">
        <f t="shared" ref="E8:E9" si="0">SUM(B8:D8)</f>
        <v>73000</v>
      </c>
    </row>
    <row r="9" spans="1:7">
      <c r="A9" s="74" t="s">
        <v>41</v>
      </c>
      <c r="B9" s="74">
        <v>15000</v>
      </c>
      <c r="C9" s="74">
        <v>18000</v>
      </c>
      <c r="D9" s="74">
        <v>22000</v>
      </c>
      <c r="E9" s="77">
        <f t="shared" si="0"/>
        <v>55000</v>
      </c>
    </row>
    <row r="11" spans="1:7">
      <c r="A11" t="s">
        <v>402</v>
      </c>
    </row>
    <row r="13" spans="1:7">
      <c r="A13" s="97" t="s">
        <v>295</v>
      </c>
      <c r="B13" s="97" t="s">
        <v>36</v>
      </c>
      <c r="C13" s="99" t="s">
        <v>392</v>
      </c>
      <c r="D13" s="100" t="s">
        <v>403</v>
      </c>
      <c r="E13" s="43">
        <v>70000</v>
      </c>
      <c r="G13" s="102" t="s">
        <v>404</v>
      </c>
    </row>
    <row r="14" spans="1:7">
      <c r="A14" s="74" t="s">
        <v>3</v>
      </c>
      <c r="B14" s="74">
        <v>85000</v>
      </c>
      <c r="C14" s="77" t="str">
        <f>IF(B14&gt;=$E$13,"Target Achieved","Target Not Achieved")</f>
        <v>Target Achieved</v>
      </c>
      <c r="G14" s="102" t="s">
        <v>405</v>
      </c>
    </row>
    <row r="15" spans="1:7">
      <c r="A15" s="74" t="s">
        <v>5</v>
      </c>
      <c r="B15" s="74">
        <v>62000</v>
      </c>
      <c r="C15" s="77" t="str">
        <f>IF(B15&gt;=$E$13,"Target Achieved","Target Not Achieved")</f>
        <v>Target Not Achieved</v>
      </c>
      <c r="G15" t="s">
        <v>406</v>
      </c>
    </row>
    <row r="16" spans="1:7">
      <c r="A16" s="74" t="s">
        <v>6</v>
      </c>
      <c r="B16" s="74">
        <v>95000</v>
      </c>
      <c r="C16" s="77" t="str">
        <f t="shared" ref="C16:C17" si="1">IF(B16&gt;=$E$13,"Target Achieved","Target Not Achieved")</f>
        <v>Target Achieved</v>
      </c>
    </row>
    <row r="17" spans="1:6">
      <c r="A17" s="74" t="s">
        <v>150</v>
      </c>
      <c r="B17" s="74">
        <v>45000</v>
      </c>
      <c r="C17" s="77" t="str">
        <f t="shared" si="1"/>
        <v>Target Not Achieved</v>
      </c>
    </row>
    <row r="19" spans="1:6">
      <c r="A19" t="s">
        <v>407</v>
      </c>
    </row>
    <row r="21" spans="1:6">
      <c r="A21" s="97" t="s">
        <v>295</v>
      </c>
      <c r="B21" s="97" t="s">
        <v>46</v>
      </c>
      <c r="C21" s="99" t="s">
        <v>410</v>
      </c>
      <c r="D21" s="99" t="s">
        <v>411</v>
      </c>
      <c r="F21" t="s">
        <v>408</v>
      </c>
    </row>
    <row r="22" spans="1:6">
      <c r="A22" s="74" t="s">
        <v>3</v>
      </c>
      <c r="B22" s="74">
        <v>25000</v>
      </c>
      <c r="C22" s="77">
        <f>SUM(B22:B26)</f>
        <v>162000</v>
      </c>
      <c r="D22" s="77">
        <f>AVERAGE(B22:B26)</f>
        <v>32400</v>
      </c>
      <c r="F22" t="s">
        <v>409</v>
      </c>
    </row>
    <row r="23" spans="1:6">
      <c r="A23" s="74" t="s">
        <v>5</v>
      </c>
      <c r="B23" s="74">
        <v>30000</v>
      </c>
      <c r="C23" s="77"/>
      <c r="D23" s="77"/>
    </row>
    <row r="24" spans="1:6">
      <c r="A24" s="74" t="s">
        <v>6</v>
      </c>
      <c r="B24" s="74">
        <v>40000</v>
      </c>
      <c r="C24" s="77"/>
      <c r="D24" s="77"/>
    </row>
    <row r="25" spans="1:6">
      <c r="A25" s="74" t="s">
        <v>150</v>
      </c>
      <c r="B25" s="74">
        <v>35000</v>
      </c>
      <c r="C25" s="77"/>
      <c r="D25" s="77"/>
    </row>
    <row r="26" spans="1:6">
      <c r="A26" s="74" t="s">
        <v>151</v>
      </c>
      <c r="B26" s="74">
        <v>32000</v>
      </c>
      <c r="C26" s="77"/>
      <c r="D26" s="77"/>
    </row>
    <row r="28" spans="1:6">
      <c r="A28" t="s">
        <v>412</v>
      </c>
    </row>
    <row r="30" spans="1:6">
      <c r="A30" s="97" t="s">
        <v>295</v>
      </c>
      <c r="B30" s="97" t="s">
        <v>1</v>
      </c>
      <c r="C30" s="99" t="s">
        <v>414</v>
      </c>
    </row>
    <row r="31" spans="1:6">
      <c r="A31" s="74" t="s">
        <v>3</v>
      </c>
      <c r="B31" s="74">
        <v>22</v>
      </c>
      <c r="C31" s="77">
        <f>COUNT(B31:B36)</f>
        <v>4</v>
      </c>
      <c r="E31" t="s">
        <v>413</v>
      </c>
    </row>
    <row r="32" spans="1:6">
      <c r="A32" s="74" t="s">
        <v>5</v>
      </c>
      <c r="B32" s="74">
        <v>25</v>
      </c>
      <c r="C32" s="77"/>
    </row>
    <row r="33" spans="1:6">
      <c r="A33" s="74" t="s">
        <v>6</v>
      </c>
      <c r="B33" s="74"/>
      <c r="C33" s="77"/>
    </row>
    <row r="34" spans="1:6">
      <c r="A34" s="74" t="s">
        <v>150</v>
      </c>
      <c r="B34" s="74">
        <v>28</v>
      </c>
      <c r="C34" s="77"/>
    </row>
    <row r="35" spans="1:6">
      <c r="A35" s="74" t="s">
        <v>151</v>
      </c>
      <c r="B35" s="74">
        <v>24</v>
      </c>
      <c r="C35" s="77"/>
    </row>
    <row r="36" spans="1:6">
      <c r="A36" s="74" t="s">
        <v>152</v>
      </c>
      <c r="B36" s="74"/>
      <c r="C36" s="77"/>
    </row>
    <row r="38" spans="1:6">
      <c r="A38" t="s">
        <v>415</v>
      </c>
    </row>
    <row r="40" spans="1:6">
      <c r="A40" s="99" t="s">
        <v>419</v>
      </c>
      <c r="B40" s="99">
        <v>1</v>
      </c>
      <c r="C40" s="99">
        <v>2</v>
      </c>
      <c r="E40" t="s">
        <v>418</v>
      </c>
    </row>
    <row r="41" spans="1:6">
      <c r="A41" s="104">
        <v>12500</v>
      </c>
      <c r="B41" s="105">
        <v>12500</v>
      </c>
      <c r="C41" s="106">
        <v>12500</v>
      </c>
      <c r="E41" s="103" t="s">
        <v>416</v>
      </c>
    </row>
    <row r="42" spans="1:6">
      <c r="A42" s="104">
        <v>50000</v>
      </c>
      <c r="B42" s="105">
        <v>50000</v>
      </c>
      <c r="C42" s="106">
        <v>50000</v>
      </c>
      <c r="E42" t="s">
        <v>417</v>
      </c>
    </row>
    <row r="43" spans="1:6">
      <c r="A43" s="104">
        <v>250000</v>
      </c>
      <c r="B43" s="105">
        <v>250000</v>
      </c>
      <c r="C43" s="106">
        <v>250000</v>
      </c>
    </row>
    <row r="44" spans="1:6">
      <c r="A44" s="104">
        <v>1500000</v>
      </c>
      <c r="B44" s="105">
        <v>1500000</v>
      </c>
      <c r="C44" s="106">
        <v>1500000</v>
      </c>
    </row>
    <row r="46" spans="1:6">
      <c r="A46" t="s">
        <v>420</v>
      </c>
    </row>
    <row r="48" spans="1:6">
      <c r="A48" s="98" t="s">
        <v>303</v>
      </c>
      <c r="B48" s="98" t="s">
        <v>295</v>
      </c>
      <c r="C48" s="98" t="s">
        <v>33</v>
      </c>
      <c r="D48" s="98" t="s">
        <v>46</v>
      </c>
      <c r="F48" s="98" t="s">
        <v>422</v>
      </c>
    </row>
    <row r="49" spans="1:9">
      <c r="A49" s="53">
        <v>101</v>
      </c>
      <c r="B49" s="53" t="s">
        <v>3</v>
      </c>
      <c r="C49" s="53" t="s">
        <v>36</v>
      </c>
      <c r="D49" s="53">
        <v>25000</v>
      </c>
      <c r="F49" s="2" t="str">
        <f>VLOOKUP(H49,A49:D53,3,FALSE)</f>
        <v>Finance</v>
      </c>
      <c r="H49" s="43">
        <v>104</v>
      </c>
    </row>
    <row r="50" spans="1:9">
      <c r="A50" s="53">
        <v>102</v>
      </c>
      <c r="B50" s="53" t="s">
        <v>5</v>
      </c>
      <c r="C50" s="53" t="s">
        <v>34</v>
      </c>
      <c r="D50" s="53">
        <v>30000</v>
      </c>
      <c r="F50" s="2"/>
    </row>
    <row r="51" spans="1:9">
      <c r="A51" s="53">
        <v>103</v>
      </c>
      <c r="B51" s="53" t="s">
        <v>6</v>
      </c>
      <c r="C51" s="53" t="s">
        <v>35</v>
      </c>
      <c r="D51" s="53">
        <v>45000</v>
      </c>
      <c r="F51" s="2"/>
      <c r="H51" t="s">
        <v>421</v>
      </c>
    </row>
    <row r="52" spans="1:9">
      <c r="A52" s="53">
        <v>104</v>
      </c>
      <c r="B52" s="53" t="s">
        <v>150</v>
      </c>
      <c r="C52" s="53" t="s">
        <v>37</v>
      </c>
      <c r="D52" s="53">
        <v>40000</v>
      </c>
      <c r="F52" s="2"/>
    </row>
    <row r="53" spans="1:9">
      <c r="A53" s="53">
        <v>105</v>
      </c>
      <c r="B53" s="53" t="s">
        <v>151</v>
      </c>
      <c r="C53" s="53" t="s">
        <v>36</v>
      </c>
      <c r="D53" s="53">
        <v>35000</v>
      </c>
      <c r="F53" s="2"/>
    </row>
    <row r="55" spans="1:9">
      <c r="A55" t="s">
        <v>423</v>
      </c>
    </row>
    <row r="57" spans="1:9">
      <c r="A57" s="97" t="s">
        <v>424</v>
      </c>
      <c r="B57" s="74" t="s">
        <v>306</v>
      </c>
      <c r="C57" s="74" t="s">
        <v>307</v>
      </c>
      <c r="D57" s="74" t="s">
        <v>308</v>
      </c>
      <c r="E57" s="74" t="s">
        <v>309</v>
      </c>
      <c r="G57" s="97" t="s">
        <v>132</v>
      </c>
    </row>
    <row r="58" spans="1:9">
      <c r="A58" s="97" t="s">
        <v>36</v>
      </c>
      <c r="B58" s="74">
        <v>50000</v>
      </c>
      <c r="C58" s="74">
        <v>60000</v>
      </c>
      <c r="D58" s="74">
        <v>75000</v>
      </c>
      <c r="E58" s="74">
        <v>90000</v>
      </c>
      <c r="G58" s="2">
        <f>HLOOKUP("Mar",B57:E59,2,FALSE)</f>
        <v>75000</v>
      </c>
      <c r="I58" t="s">
        <v>425</v>
      </c>
    </row>
    <row r="59" spans="1:9">
      <c r="A59" s="97" t="s">
        <v>310</v>
      </c>
      <c r="B59" s="74">
        <v>10000</v>
      </c>
      <c r="C59" s="74">
        <v>12000</v>
      </c>
      <c r="D59" s="74">
        <v>15000</v>
      </c>
      <c r="E59" s="74">
        <v>18000</v>
      </c>
      <c r="G59" s="3"/>
    </row>
    <row r="61" spans="1:9">
      <c r="A61" t="s">
        <v>426</v>
      </c>
    </row>
    <row r="63" spans="1:9">
      <c r="A63" s="98" t="s">
        <v>39</v>
      </c>
      <c r="B63" s="98" t="s">
        <v>11</v>
      </c>
      <c r="C63" s="98" t="s">
        <v>12</v>
      </c>
      <c r="E63" s="98" t="s">
        <v>116</v>
      </c>
      <c r="I63" t="s">
        <v>427</v>
      </c>
    </row>
    <row r="64" spans="1:9">
      <c r="A64" s="53" t="s">
        <v>313</v>
      </c>
      <c r="B64" s="53" t="s">
        <v>15</v>
      </c>
      <c r="C64" s="53">
        <v>50000</v>
      </c>
      <c r="E64" s="2" t="str">
        <f>_xlfn.XLOOKUP(G64,A64:A67,C64:C67,"Product Not Found")</f>
        <v>Product Not Found</v>
      </c>
      <c r="G64" s="107" t="s">
        <v>317</v>
      </c>
      <c r="I64" t="s">
        <v>428</v>
      </c>
    </row>
    <row r="65" spans="1:9">
      <c r="A65" s="53" t="s">
        <v>314</v>
      </c>
      <c r="B65" s="53" t="s">
        <v>16</v>
      </c>
      <c r="C65" s="53">
        <v>800</v>
      </c>
      <c r="E65" s="2"/>
      <c r="I65" s="63" t="s">
        <v>429</v>
      </c>
    </row>
    <row r="66" spans="1:9">
      <c r="A66" s="53" t="s">
        <v>315</v>
      </c>
      <c r="B66" s="53" t="s">
        <v>40</v>
      </c>
      <c r="C66" s="53">
        <v>1200</v>
      </c>
      <c r="E66" s="2"/>
      <c r="I66" t="s">
        <v>430</v>
      </c>
    </row>
    <row r="67" spans="1:9">
      <c r="A67" s="53" t="s">
        <v>316</v>
      </c>
      <c r="B67" s="53" t="s">
        <v>41</v>
      </c>
      <c r="C67" s="53">
        <v>15000</v>
      </c>
      <c r="E67" s="2"/>
    </row>
    <row r="69" spans="1:9">
      <c r="A69" t="s">
        <v>431</v>
      </c>
    </row>
    <row r="71" spans="1:9">
      <c r="A71" s="98" t="s">
        <v>11</v>
      </c>
      <c r="B71" s="98" t="s">
        <v>12</v>
      </c>
      <c r="C71" s="8" t="s">
        <v>434</v>
      </c>
      <c r="D71" s="8" t="s">
        <v>435</v>
      </c>
    </row>
    <row r="72" spans="1:9">
      <c r="A72" s="53" t="s">
        <v>15</v>
      </c>
      <c r="B72" s="53">
        <v>50000</v>
      </c>
      <c r="C72" s="2">
        <f>MATCH(A74,A72:A76,0)</f>
        <v>3</v>
      </c>
      <c r="D72" s="2" cm="1">
        <f t="array" ref="D72">INDEX(B72:B76,3,)</f>
        <v>1200</v>
      </c>
      <c r="F72" s="101" t="s">
        <v>432</v>
      </c>
    </row>
    <row r="73" spans="1:9">
      <c r="A73" s="53" t="s">
        <v>16</v>
      </c>
      <c r="B73" s="53">
        <v>800</v>
      </c>
      <c r="C73" s="3"/>
      <c r="D73" s="3"/>
      <c r="F73" s="101" t="s">
        <v>433</v>
      </c>
    </row>
    <row r="74" spans="1:9">
      <c r="A74" s="53" t="s">
        <v>40</v>
      </c>
      <c r="B74" s="53">
        <v>1200</v>
      </c>
      <c r="C74" s="3"/>
      <c r="D74" s="3"/>
    </row>
    <row r="75" spans="1:9">
      <c r="A75" s="53" t="s">
        <v>41</v>
      </c>
      <c r="B75" s="53">
        <v>15000</v>
      </c>
      <c r="C75" s="3"/>
      <c r="D75" s="3"/>
    </row>
    <row r="76" spans="1:9">
      <c r="A76" s="53" t="s">
        <v>343</v>
      </c>
      <c r="B76" s="53">
        <v>12000</v>
      </c>
      <c r="C76" s="3"/>
      <c r="D76" s="3"/>
    </row>
    <row r="78" spans="1:9">
      <c r="A78" t="s">
        <v>436</v>
      </c>
    </row>
    <row r="80" spans="1:9">
      <c r="A80" s="98" t="s">
        <v>303</v>
      </c>
      <c r="B80" s="98" t="s">
        <v>295</v>
      </c>
      <c r="C80" s="98" t="s">
        <v>33</v>
      </c>
      <c r="D80" s="98" t="s">
        <v>46</v>
      </c>
      <c r="E80" s="98" t="s">
        <v>438</v>
      </c>
    </row>
    <row r="81" spans="1:9">
      <c r="A81" s="53">
        <v>101</v>
      </c>
      <c r="B81" s="53" t="s">
        <v>3</v>
      </c>
      <c r="C81" s="53" t="s">
        <v>36</v>
      </c>
      <c r="D81" s="53">
        <v>25000</v>
      </c>
      <c r="E81" s="2">
        <f>INDEX(D81:D85,MATCH(G81,A81:A85,0))</f>
        <v>35000</v>
      </c>
      <c r="G81" s="43">
        <v>105</v>
      </c>
      <c r="I81" t="s">
        <v>437</v>
      </c>
    </row>
    <row r="82" spans="1:9">
      <c r="A82" s="53">
        <v>102</v>
      </c>
      <c r="B82" s="53" t="s">
        <v>5</v>
      </c>
      <c r="C82" s="53" t="s">
        <v>34</v>
      </c>
      <c r="D82" s="53">
        <v>30000</v>
      </c>
      <c r="E82" s="3"/>
    </row>
    <row r="83" spans="1:9">
      <c r="A83" s="53">
        <v>103</v>
      </c>
      <c r="B83" s="53" t="s">
        <v>6</v>
      </c>
      <c r="C83" s="53" t="s">
        <v>35</v>
      </c>
      <c r="D83" s="53">
        <v>45000</v>
      </c>
      <c r="E83" s="3"/>
    </row>
    <row r="84" spans="1:9">
      <c r="A84" s="53">
        <v>104</v>
      </c>
      <c r="B84" s="53" t="s">
        <v>150</v>
      </c>
      <c r="C84" s="53" t="s">
        <v>37</v>
      </c>
      <c r="D84" s="53">
        <v>40000</v>
      </c>
      <c r="E84" s="3"/>
    </row>
    <row r="85" spans="1:9">
      <c r="A85" s="53">
        <v>105</v>
      </c>
      <c r="B85" s="53" t="s">
        <v>151</v>
      </c>
      <c r="C85" s="53" t="s">
        <v>36</v>
      </c>
      <c r="D85" s="53">
        <v>35000</v>
      </c>
      <c r="E85" s="3"/>
    </row>
    <row r="87" spans="1:9">
      <c r="A87" t="s">
        <v>439</v>
      </c>
    </row>
    <row r="89" spans="1:9">
      <c r="A89" s="98" t="s">
        <v>303</v>
      </c>
      <c r="B89" s="98" t="s">
        <v>295</v>
      </c>
      <c r="C89" s="98" t="s">
        <v>33</v>
      </c>
      <c r="D89" s="98" t="s">
        <v>36</v>
      </c>
      <c r="E89" s="98" t="s">
        <v>335</v>
      </c>
      <c r="F89" s="98" t="s">
        <v>392</v>
      </c>
    </row>
    <row r="90" spans="1:9">
      <c r="A90" s="53">
        <v>101</v>
      </c>
      <c r="B90" s="53" t="s">
        <v>3</v>
      </c>
      <c r="C90" s="53" t="s">
        <v>36</v>
      </c>
      <c r="D90" s="53">
        <v>85000</v>
      </c>
      <c r="E90" s="2">
        <f>_xlfn.XLOOKUP(C90,A99:A102,B99:B102)</f>
        <v>80000</v>
      </c>
      <c r="F90" s="2" t="str">
        <f>IF(D90&gt;=E90,"Target Achieved","Target Not Achieved")</f>
        <v>Target Achieved</v>
      </c>
      <c r="H90" t="s">
        <v>441</v>
      </c>
    </row>
    <row r="91" spans="1:9">
      <c r="A91" s="53">
        <v>102</v>
      </c>
      <c r="B91" s="53" t="s">
        <v>5</v>
      </c>
      <c r="C91" s="53" t="s">
        <v>34</v>
      </c>
      <c r="D91" s="53">
        <v>45000</v>
      </c>
      <c r="E91" s="2">
        <f>_xlfn.XLOOKUP(C91,$A$99:$A$102,$B$99:$B$102)</f>
        <v>50000</v>
      </c>
      <c r="F91" s="2" t="str">
        <f>IF(D91&gt;=E91,"Target Achieved","Target Not Achieved")</f>
        <v>Target Not Achieved</v>
      </c>
      <c r="H91" t="s">
        <v>442</v>
      </c>
    </row>
    <row r="92" spans="1:9">
      <c r="A92" s="53">
        <v>103</v>
      </c>
      <c r="B92" s="53" t="s">
        <v>6</v>
      </c>
      <c r="C92" s="53" t="s">
        <v>35</v>
      </c>
      <c r="D92" s="53">
        <v>120000</v>
      </c>
      <c r="E92" s="2">
        <f t="shared" ref="E92:E94" si="2">_xlfn.XLOOKUP(C92,$A$99:$A$102,$B$99:$B$102)</f>
        <v>100000</v>
      </c>
      <c r="F92" s="2" t="str">
        <f t="shared" ref="F92:F94" si="3">IF(D92&gt;=E92,"Target Achieved","Target Not Achieved")</f>
        <v>Target Achieved</v>
      </c>
    </row>
    <row r="93" spans="1:9">
      <c r="A93" s="53">
        <v>104</v>
      </c>
      <c r="B93" s="53" t="s">
        <v>150</v>
      </c>
      <c r="C93" s="53" t="s">
        <v>37</v>
      </c>
      <c r="D93" s="53">
        <v>65000</v>
      </c>
      <c r="E93" s="2">
        <f t="shared" si="2"/>
        <v>70000</v>
      </c>
      <c r="F93" s="2" t="str">
        <f t="shared" si="3"/>
        <v>Target Not Achieved</v>
      </c>
      <c r="H93" s="63" t="s">
        <v>443</v>
      </c>
    </row>
    <row r="94" spans="1:9">
      <c r="A94" s="53">
        <v>105</v>
      </c>
      <c r="B94" s="53" t="s">
        <v>151</v>
      </c>
      <c r="C94" s="53" t="s">
        <v>36</v>
      </c>
      <c r="D94" s="53">
        <v>95000</v>
      </c>
      <c r="E94" s="2">
        <f t="shared" si="2"/>
        <v>80000</v>
      </c>
      <c r="F94" s="2" t="str">
        <f t="shared" si="3"/>
        <v>Target Achieved</v>
      </c>
      <c r="H94" s="63" t="s">
        <v>444</v>
      </c>
    </row>
    <row r="96" spans="1:9">
      <c r="A96" t="s">
        <v>440</v>
      </c>
    </row>
    <row r="98" spans="1:7">
      <c r="A98" s="98" t="s">
        <v>33</v>
      </c>
      <c r="B98" s="98" t="s">
        <v>335</v>
      </c>
    </row>
    <row r="99" spans="1:7">
      <c r="A99" s="53" t="s">
        <v>36</v>
      </c>
      <c r="B99" s="53">
        <v>80000</v>
      </c>
    </row>
    <row r="100" spans="1:7">
      <c r="A100" s="53" t="s">
        <v>34</v>
      </c>
      <c r="B100" s="53">
        <v>50000</v>
      </c>
    </row>
    <row r="101" spans="1:7">
      <c r="A101" s="53" t="s">
        <v>35</v>
      </c>
      <c r="B101" s="53">
        <v>100000</v>
      </c>
    </row>
    <row r="102" spans="1:7">
      <c r="A102" s="53" t="s">
        <v>37</v>
      </c>
      <c r="B102" s="53">
        <v>70000</v>
      </c>
    </row>
    <row r="103" spans="1:7">
      <c r="F103" s="88" t="s">
        <v>446</v>
      </c>
    </row>
    <row r="104" spans="1:7">
      <c r="A104" t="s">
        <v>445</v>
      </c>
      <c r="F104" s="63" t="s">
        <v>387</v>
      </c>
    </row>
    <row r="105" spans="1:7">
      <c r="F105" s="63" t="s">
        <v>388</v>
      </c>
    </row>
    <row r="106" spans="1:7">
      <c r="A106" s="8" t="s">
        <v>389</v>
      </c>
    </row>
    <row r="107" spans="1:7">
      <c r="A107" s="2">
        <f>IF(F90="Target Achieved",D90*10%,0)</f>
        <v>8500</v>
      </c>
      <c r="F107" t="s">
        <v>447</v>
      </c>
      <c r="G107" t="s">
        <v>448</v>
      </c>
    </row>
    <row r="108" spans="1:7">
      <c r="A108" s="2">
        <f>IF(F91="Target Achieved",D91*10%,0)</f>
        <v>0</v>
      </c>
      <c r="G108" s="63" t="s">
        <v>449</v>
      </c>
    </row>
    <row r="109" spans="1:7">
      <c r="A109" s="2">
        <f t="shared" ref="A109:A111" si="4">IF(F92="Target Achieved",D92*10%,0)</f>
        <v>12000</v>
      </c>
      <c r="G109" s="63" t="s">
        <v>450</v>
      </c>
    </row>
    <row r="110" spans="1:7">
      <c r="A110" s="2">
        <f t="shared" si="4"/>
        <v>0</v>
      </c>
    </row>
    <row r="111" spans="1:7">
      <c r="A111" s="2">
        <f t="shared" si="4"/>
        <v>9500</v>
      </c>
      <c r="F111" t="s">
        <v>451</v>
      </c>
      <c r="G111" s="108">
        <v>8500</v>
      </c>
    </row>
    <row r="113" spans="1:10">
      <c r="A113" t="s">
        <v>452</v>
      </c>
    </row>
    <row r="115" spans="1:10">
      <c r="A115" s="98" t="s">
        <v>303</v>
      </c>
      <c r="B115" s="98" t="s">
        <v>295</v>
      </c>
      <c r="C115" s="98" t="s">
        <v>33</v>
      </c>
      <c r="D115" s="98" t="s">
        <v>36</v>
      </c>
      <c r="E115" s="98" t="s">
        <v>335</v>
      </c>
      <c r="F115" s="98" t="s">
        <v>352</v>
      </c>
      <c r="G115" s="98" t="s">
        <v>389</v>
      </c>
      <c r="H115" s="98" t="s">
        <v>469</v>
      </c>
    </row>
    <row r="116" spans="1:10" ht="18">
      <c r="A116" s="53">
        <v>201</v>
      </c>
      <c r="B116" s="53" t="s">
        <v>153</v>
      </c>
      <c r="C116" s="53" t="s">
        <v>36</v>
      </c>
      <c r="D116" s="53">
        <v>120000</v>
      </c>
      <c r="E116" s="2">
        <f>_xlfn.XLOOKUP(C116,$A$126:$A$129,$B$126:$B$129)</f>
        <v>80000</v>
      </c>
      <c r="F116" s="2" t="str">
        <f>IF(D116&gt;=E116,"Achieved","Not Achieved")</f>
        <v>Achieved</v>
      </c>
      <c r="G116" s="2">
        <f>IF(F116="Achieved",D116*10%,0)</f>
        <v>12000</v>
      </c>
      <c r="H116" s="2" t="str">
        <f>IF(G116&gt;0,"Eligible","Not Eligible")</f>
        <v>Eligible</v>
      </c>
      <c r="J116" s="109" t="s">
        <v>457</v>
      </c>
    </row>
    <row r="117" spans="1:10">
      <c r="A117" s="53">
        <v>202</v>
      </c>
      <c r="B117" s="53" t="s">
        <v>4</v>
      </c>
      <c r="C117" s="53" t="s">
        <v>34</v>
      </c>
      <c r="D117" s="53">
        <v>48000</v>
      </c>
      <c r="E117" s="2">
        <f t="shared" ref="E117:E121" si="5">_xlfn.XLOOKUP(C117,$A$126:$A$129,$B$126:$B$129)</f>
        <v>50000</v>
      </c>
      <c r="F117" s="2" t="str">
        <f>IF(D117&gt;=E117,"Achieved","Not Achieved")</f>
        <v>Not Achieved</v>
      </c>
      <c r="G117" s="2">
        <f t="shared" ref="G117:G121" si="6">IF(F117="Achieved",D117*10%,0)</f>
        <v>0</v>
      </c>
      <c r="H117" s="2" t="str">
        <f>IF(G117&gt;0,"Eligible","Not Eligible")</f>
        <v>Not Eligible</v>
      </c>
      <c r="J117" t="s">
        <v>458</v>
      </c>
    </row>
    <row r="118" spans="1:10">
      <c r="A118" s="53">
        <v>203</v>
      </c>
      <c r="B118" s="53" t="s">
        <v>152</v>
      </c>
      <c r="C118" s="53" t="s">
        <v>35</v>
      </c>
      <c r="D118" s="53">
        <v>95000</v>
      </c>
      <c r="E118" s="2">
        <f t="shared" si="5"/>
        <v>100000</v>
      </c>
      <c r="F118" s="2" t="str">
        <f t="shared" ref="F118:F121" si="7">IF(D118&gt;=E118,"Achieved","Not Achieved")</f>
        <v>Not Achieved</v>
      </c>
      <c r="G118" s="2">
        <f t="shared" si="6"/>
        <v>0</v>
      </c>
      <c r="H118" s="2" t="str">
        <f t="shared" ref="H118:H121" si="8">IF(G118&gt;0,"Eligible","Not Eligible")</f>
        <v>Not Eligible</v>
      </c>
    </row>
    <row r="119" spans="1:10" ht="18">
      <c r="A119" s="53">
        <v>204</v>
      </c>
      <c r="B119" s="53" t="s">
        <v>453</v>
      </c>
      <c r="C119" s="53" t="s">
        <v>37</v>
      </c>
      <c r="D119" s="53">
        <v>85000</v>
      </c>
      <c r="E119" s="2">
        <f t="shared" si="5"/>
        <v>70000</v>
      </c>
      <c r="F119" s="2" t="str">
        <f t="shared" si="7"/>
        <v>Achieved</v>
      </c>
      <c r="G119" s="2">
        <f t="shared" si="6"/>
        <v>8500</v>
      </c>
      <c r="H119" s="2" t="str">
        <f t="shared" si="8"/>
        <v>Eligible</v>
      </c>
      <c r="J119" s="109" t="s">
        <v>459</v>
      </c>
    </row>
    <row r="120" spans="1:10">
      <c r="A120" s="53">
        <v>205</v>
      </c>
      <c r="B120" s="53" t="s">
        <v>454</v>
      </c>
      <c r="C120" s="53" t="s">
        <v>36</v>
      </c>
      <c r="D120" s="53">
        <v>72000</v>
      </c>
      <c r="E120" s="2">
        <f t="shared" si="5"/>
        <v>80000</v>
      </c>
      <c r="F120" s="2" t="str">
        <f t="shared" si="7"/>
        <v>Not Achieved</v>
      </c>
      <c r="G120" s="2">
        <f t="shared" si="6"/>
        <v>0</v>
      </c>
      <c r="H120" s="2" t="str">
        <f t="shared" si="8"/>
        <v>Not Eligible</v>
      </c>
      <c r="J120" t="s">
        <v>460</v>
      </c>
    </row>
    <row r="121" spans="1:10">
      <c r="A121" s="53">
        <v>206</v>
      </c>
      <c r="B121" s="53" t="s">
        <v>455</v>
      </c>
      <c r="C121" s="53" t="s">
        <v>35</v>
      </c>
      <c r="D121" s="53">
        <v>130000</v>
      </c>
      <c r="E121" s="2">
        <f t="shared" si="5"/>
        <v>100000</v>
      </c>
      <c r="F121" s="2" t="str">
        <f t="shared" si="7"/>
        <v>Achieved</v>
      </c>
      <c r="G121" s="2">
        <f t="shared" si="6"/>
        <v>13000</v>
      </c>
      <c r="H121" s="2" t="str">
        <f t="shared" si="8"/>
        <v>Eligible</v>
      </c>
    </row>
    <row r="122" spans="1:10">
      <c r="J122" s="63" t="s">
        <v>461</v>
      </c>
    </row>
    <row r="123" spans="1:10">
      <c r="A123" t="s">
        <v>456</v>
      </c>
      <c r="J123" s="63" t="s">
        <v>462</v>
      </c>
    </row>
    <row r="125" spans="1:10" ht="18">
      <c r="A125" s="98" t="s">
        <v>33</v>
      </c>
      <c r="B125" s="98" t="s">
        <v>335</v>
      </c>
      <c r="J125" s="109" t="s">
        <v>463</v>
      </c>
    </row>
    <row r="126" spans="1:10">
      <c r="A126" s="53" t="s">
        <v>36</v>
      </c>
      <c r="B126" s="53">
        <v>80000</v>
      </c>
    </row>
    <row r="127" spans="1:10">
      <c r="A127" s="53" t="s">
        <v>34</v>
      </c>
      <c r="B127" s="53">
        <v>50000</v>
      </c>
      <c r="J127" s="63" t="s">
        <v>464</v>
      </c>
    </row>
    <row r="128" spans="1:10">
      <c r="A128" s="53" t="s">
        <v>35</v>
      </c>
      <c r="B128" s="53">
        <v>100000</v>
      </c>
      <c r="J128" s="63" t="s">
        <v>465</v>
      </c>
    </row>
    <row r="129" spans="1:10">
      <c r="A129" s="53" t="s">
        <v>37</v>
      </c>
      <c r="B129" s="53">
        <v>70000</v>
      </c>
    </row>
    <row r="130" spans="1:10" ht="18">
      <c r="J130" s="109" t="s">
        <v>466</v>
      </c>
    </row>
    <row r="131" spans="1:10">
      <c r="J131" t="s">
        <v>460</v>
      </c>
    </row>
    <row r="133" spans="1:10">
      <c r="J133" s="63" t="s">
        <v>467</v>
      </c>
    </row>
    <row r="134" spans="1:10">
      <c r="G134" s="102"/>
      <c r="J134" s="63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B514-99F4-42E3-AAA5-388FE546B0E4}">
  <dimension ref="A1:N70"/>
  <sheetViews>
    <sheetView tabSelected="1" topLeftCell="B1" zoomScale="110" zoomScaleNormal="110" workbookViewId="0">
      <selection activeCell="N3" sqref="N3:N11"/>
    </sheetView>
  </sheetViews>
  <sheetFormatPr defaultRowHeight="15"/>
  <cols>
    <col min="1" max="1" width="11.140625" customWidth="1"/>
    <col min="2" max="2" width="9.140625" customWidth="1"/>
    <col min="3" max="3" width="13.5703125" customWidth="1"/>
    <col min="4" max="4" width="10" customWidth="1"/>
    <col min="5" max="5" width="11" customWidth="1"/>
    <col min="6" max="6" width="12.85546875" customWidth="1"/>
    <col min="7" max="7" width="11.85546875" customWidth="1"/>
    <col min="8" max="8" width="15.85546875" customWidth="1"/>
    <col min="9" max="9" width="16.28515625" customWidth="1"/>
    <col min="12" max="12" width="9.85546875" customWidth="1"/>
    <col min="13" max="13" width="10.7109375" bestFit="1" customWidth="1"/>
    <col min="14" max="14" width="14.140625" customWidth="1"/>
  </cols>
  <sheetData>
    <row r="1" spans="1:14">
      <c r="A1" s="110" t="s">
        <v>472</v>
      </c>
      <c r="B1" s="111" t="s">
        <v>473</v>
      </c>
      <c r="C1" s="111"/>
      <c r="D1" s="111"/>
      <c r="E1" s="111"/>
    </row>
    <row r="3" spans="1:14" ht="30">
      <c r="A3" s="112" t="s">
        <v>303</v>
      </c>
      <c r="B3" s="112" t="s">
        <v>295</v>
      </c>
      <c r="C3" s="112" t="s">
        <v>33</v>
      </c>
      <c r="D3" s="112" t="s">
        <v>398</v>
      </c>
      <c r="E3" s="112" t="s">
        <v>399</v>
      </c>
      <c r="F3" s="112" t="s">
        <v>400</v>
      </c>
      <c r="G3" s="112" t="s">
        <v>335</v>
      </c>
      <c r="H3" s="112" t="s">
        <v>401</v>
      </c>
      <c r="I3" s="112" t="s">
        <v>489</v>
      </c>
      <c r="J3" s="112" t="s">
        <v>510</v>
      </c>
      <c r="K3" s="112" t="s">
        <v>511</v>
      </c>
      <c r="L3" s="112" t="s">
        <v>512</v>
      </c>
      <c r="M3" s="112" t="s">
        <v>513</v>
      </c>
      <c r="N3" s="116" t="s">
        <v>532</v>
      </c>
    </row>
    <row r="4" spans="1:14">
      <c r="A4" s="53" t="s">
        <v>474</v>
      </c>
      <c r="B4" s="53" t="s">
        <v>3</v>
      </c>
      <c r="C4" s="53" t="s">
        <v>36</v>
      </c>
      <c r="D4" s="113">
        <v>45000</v>
      </c>
      <c r="E4" s="113">
        <v>52000</v>
      </c>
      <c r="F4" s="113">
        <v>68000</v>
      </c>
      <c r="G4" s="113">
        <v>60000</v>
      </c>
      <c r="H4" s="93">
        <f>SUM(D4:F4)</f>
        <v>165000</v>
      </c>
      <c r="I4" s="93">
        <f>AVERAGE(H4:H11)</f>
        <v>171000</v>
      </c>
      <c r="J4" s="2">
        <f>COUNT(D4:D11)</f>
        <v>8</v>
      </c>
      <c r="K4" s="114">
        <f>SUM(D4:D11)</f>
        <v>434000</v>
      </c>
      <c r="L4" s="114">
        <f>AVERAGE(D4:D11)</f>
        <v>54250</v>
      </c>
      <c r="M4" s="115">
        <v>54250</v>
      </c>
      <c r="N4" s="2">
        <f>_xlfn.XLOOKUP(C4,$A$60:$A$63,$B$60:$B$63)</f>
        <v>70000</v>
      </c>
    </row>
    <row r="5" spans="1:14">
      <c r="A5" s="53" t="s">
        <v>475</v>
      </c>
      <c r="B5" s="53" t="s">
        <v>151</v>
      </c>
      <c r="C5" s="53" t="s">
        <v>36</v>
      </c>
      <c r="D5" s="113">
        <v>72000</v>
      </c>
      <c r="E5" s="113">
        <v>65000</v>
      </c>
      <c r="F5" s="113">
        <v>59000</v>
      </c>
      <c r="G5" s="113">
        <v>70000</v>
      </c>
      <c r="H5" s="93">
        <f t="shared" ref="H5:H10" si="0">SUM(D5:F5)</f>
        <v>196000</v>
      </c>
      <c r="I5" s="2"/>
      <c r="J5" s="3"/>
      <c r="K5" s="3"/>
      <c r="L5" s="2"/>
      <c r="M5" s="3"/>
      <c r="N5" s="2">
        <f t="shared" ref="N5:N11" si="1">_xlfn.XLOOKUP(C5,$A$60:$A$63,$B$60:$B$63)</f>
        <v>70000</v>
      </c>
    </row>
    <row r="6" spans="1:14">
      <c r="A6" s="53" t="s">
        <v>476</v>
      </c>
      <c r="B6" s="53" t="s">
        <v>5</v>
      </c>
      <c r="C6" s="53" t="s">
        <v>158</v>
      </c>
      <c r="D6" s="113">
        <v>38000</v>
      </c>
      <c r="E6" s="113">
        <v>42000</v>
      </c>
      <c r="F6" s="113">
        <v>47000</v>
      </c>
      <c r="G6" s="113">
        <v>45000</v>
      </c>
      <c r="H6" s="93">
        <f t="shared" si="0"/>
        <v>127000</v>
      </c>
      <c r="I6" s="2"/>
      <c r="J6" s="3"/>
      <c r="K6" s="3"/>
      <c r="L6" s="2"/>
      <c r="M6" s="3"/>
      <c r="N6" s="2">
        <f t="shared" si="1"/>
        <v>50000</v>
      </c>
    </row>
    <row r="7" spans="1:14">
      <c r="A7" s="53" t="s">
        <v>477</v>
      </c>
      <c r="B7" s="53" t="s">
        <v>6</v>
      </c>
      <c r="C7" s="53" t="s">
        <v>36</v>
      </c>
      <c r="D7" s="113">
        <v>85000</v>
      </c>
      <c r="E7" s="113">
        <v>91000</v>
      </c>
      <c r="F7" s="113">
        <v>88000</v>
      </c>
      <c r="G7" s="113">
        <v>80000</v>
      </c>
      <c r="H7" s="93">
        <f t="shared" si="0"/>
        <v>264000</v>
      </c>
      <c r="I7" s="2"/>
      <c r="J7" s="3"/>
      <c r="K7" s="3"/>
      <c r="L7" s="2"/>
      <c r="M7" s="3"/>
      <c r="N7" s="2">
        <f t="shared" si="1"/>
        <v>70000</v>
      </c>
    </row>
    <row r="8" spans="1:14">
      <c r="A8" s="53" t="s">
        <v>478</v>
      </c>
      <c r="B8" s="53" t="s">
        <v>150</v>
      </c>
      <c r="C8" s="53" t="s">
        <v>158</v>
      </c>
      <c r="D8" s="113">
        <v>55000</v>
      </c>
      <c r="E8" s="113">
        <v>48000</v>
      </c>
      <c r="F8" s="113">
        <v>51000</v>
      </c>
      <c r="G8" s="113">
        <v>50000</v>
      </c>
      <c r="H8" s="93">
        <f t="shared" si="0"/>
        <v>154000</v>
      </c>
      <c r="I8" s="2"/>
      <c r="J8" s="3"/>
      <c r="K8" s="3"/>
      <c r="L8" s="2"/>
      <c r="M8" s="3"/>
      <c r="N8" s="2">
        <f t="shared" si="1"/>
        <v>50000</v>
      </c>
    </row>
    <row r="9" spans="1:14">
      <c r="A9" s="53" t="s">
        <v>479</v>
      </c>
      <c r="B9" s="53" t="s">
        <v>4</v>
      </c>
      <c r="C9" s="53" t="s">
        <v>34</v>
      </c>
      <c r="D9" s="113">
        <v>30000</v>
      </c>
      <c r="E9" s="113">
        <v>35000</v>
      </c>
      <c r="F9" s="113">
        <v>40000</v>
      </c>
      <c r="G9" s="113">
        <v>45000</v>
      </c>
      <c r="H9" s="93">
        <f t="shared" si="0"/>
        <v>105000</v>
      </c>
      <c r="I9" s="2"/>
      <c r="J9" s="3"/>
      <c r="K9" s="3"/>
      <c r="L9" s="2"/>
      <c r="M9" s="3"/>
      <c r="N9" s="2">
        <f t="shared" si="1"/>
        <v>45000</v>
      </c>
    </row>
    <row r="10" spans="1:14">
      <c r="A10" s="53" t="s">
        <v>480</v>
      </c>
      <c r="B10" s="53" t="s">
        <v>153</v>
      </c>
      <c r="C10" s="53" t="s">
        <v>36</v>
      </c>
      <c r="D10" s="113">
        <v>62000</v>
      </c>
      <c r="E10" s="113">
        <v>71000</v>
      </c>
      <c r="F10" s="113">
        <v>76000</v>
      </c>
      <c r="G10" s="113">
        <v>70000</v>
      </c>
      <c r="H10" s="93">
        <f t="shared" si="0"/>
        <v>209000</v>
      </c>
      <c r="I10" s="2"/>
      <c r="J10" s="3"/>
      <c r="K10" s="3"/>
      <c r="L10" s="2"/>
      <c r="M10" s="3"/>
      <c r="N10" s="2">
        <f t="shared" si="1"/>
        <v>70000</v>
      </c>
    </row>
    <row r="11" spans="1:14">
      <c r="A11" s="53" t="s">
        <v>481</v>
      </c>
      <c r="B11" s="53" t="s">
        <v>453</v>
      </c>
      <c r="C11" s="53" t="s">
        <v>34</v>
      </c>
      <c r="D11" s="113">
        <v>47000</v>
      </c>
      <c r="E11" s="113">
        <v>52000</v>
      </c>
      <c r="F11" s="113">
        <v>49000</v>
      </c>
      <c r="G11" s="113">
        <v>50000</v>
      </c>
      <c r="H11" s="93">
        <f>SUM(D11:F11)</f>
        <v>148000</v>
      </c>
      <c r="I11" s="2"/>
      <c r="J11" s="3"/>
      <c r="K11" s="3"/>
      <c r="L11" s="2"/>
      <c r="M11" s="3"/>
      <c r="N11" s="2">
        <f t="shared" si="1"/>
        <v>45000</v>
      </c>
    </row>
    <row r="13" spans="1:14" ht="18">
      <c r="A13" s="109" t="s">
        <v>482</v>
      </c>
    </row>
    <row r="14" spans="1:14">
      <c r="A14" s="88" t="s">
        <v>483</v>
      </c>
    </row>
    <row r="15" spans="1:14">
      <c r="A15" t="s">
        <v>484</v>
      </c>
    </row>
    <row r="16" spans="1:14">
      <c r="A16" t="s">
        <v>485</v>
      </c>
    </row>
    <row r="17" spans="1:10">
      <c r="A17" t="s">
        <v>486</v>
      </c>
    </row>
    <row r="18" spans="1:10">
      <c r="A18" t="s">
        <v>487</v>
      </c>
    </row>
    <row r="19" spans="1:10">
      <c r="A19" s="103" t="s">
        <v>488</v>
      </c>
    </row>
    <row r="21" spans="1:10">
      <c r="A21" t="s">
        <v>490</v>
      </c>
    </row>
    <row r="22" spans="1:10">
      <c r="A22" s="88" t="s">
        <v>491</v>
      </c>
    </row>
    <row r="23" spans="1:10">
      <c r="A23" t="s">
        <v>492</v>
      </c>
      <c r="J23">
        <v>200000</v>
      </c>
    </row>
    <row r="24" spans="1:10">
      <c r="A24" t="s">
        <v>493</v>
      </c>
    </row>
    <row r="25" spans="1:10">
      <c r="B25" t="s">
        <v>497</v>
      </c>
    </row>
    <row r="26" spans="1:10">
      <c r="A26" s="63"/>
    </row>
    <row r="27" spans="1:10">
      <c r="A27" t="s">
        <v>494</v>
      </c>
      <c r="G27" t="s">
        <v>498</v>
      </c>
      <c r="H27" t="s">
        <v>499</v>
      </c>
      <c r="I27" s="43" t="str">
        <f>IF(SUM(D4:F4)&gt;=$J$23,"Target Level","Below Target")</f>
        <v>Below Target</v>
      </c>
    </row>
    <row r="28" spans="1:10">
      <c r="A28" t="s">
        <v>495</v>
      </c>
      <c r="H28" t="s">
        <v>500</v>
      </c>
      <c r="I28" s="43" t="str">
        <f>IF(SUM(D7:F7)&gt;=$J$23,"Target Level","Below Target")</f>
        <v>Target Level</v>
      </c>
    </row>
    <row r="29" spans="1:10">
      <c r="A29" t="s">
        <v>496</v>
      </c>
      <c r="H29" t="s">
        <v>501</v>
      </c>
      <c r="I29" s="43" t="s">
        <v>502</v>
      </c>
    </row>
    <row r="31" spans="1:10">
      <c r="A31" t="s">
        <v>503</v>
      </c>
    </row>
    <row r="32" spans="1:10">
      <c r="A32" s="88" t="s">
        <v>504</v>
      </c>
    </row>
    <row r="33" spans="1:9">
      <c r="A33" t="s">
        <v>505</v>
      </c>
    </row>
    <row r="34" spans="1:9">
      <c r="A34" s="101" t="s">
        <v>506</v>
      </c>
    </row>
    <row r="35" spans="1:9">
      <c r="A35" s="101" t="s">
        <v>507</v>
      </c>
    </row>
    <row r="36" spans="1:9">
      <c r="A36" s="101" t="s">
        <v>508</v>
      </c>
    </row>
    <row r="37" spans="1:9">
      <c r="A37" s="101" t="s">
        <v>509</v>
      </c>
    </row>
    <row r="39" spans="1:9" ht="18">
      <c r="A39" s="109" t="s">
        <v>516</v>
      </c>
    </row>
    <row r="40" spans="1:9">
      <c r="A40" s="88" t="s">
        <v>514</v>
      </c>
    </row>
    <row r="41" spans="1:9">
      <c r="A41" t="s">
        <v>515</v>
      </c>
    </row>
    <row r="42" spans="1:9">
      <c r="A42" t="s">
        <v>517</v>
      </c>
    </row>
    <row r="43" spans="1:9">
      <c r="A43" t="s">
        <v>518</v>
      </c>
    </row>
    <row r="44" spans="1:9">
      <c r="A44" t="s">
        <v>519</v>
      </c>
    </row>
    <row r="45" spans="1:9">
      <c r="A45" s="88" t="s">
        <v>520</v>
      </c>
      <c r="H45" s="43" t="s">
        <v>521</v>
      </c>
      <c r="I45" t="s">
        <v>529</v>
      </c>
    </row>
    <row r="46" spans="1:9">
      <c r="H46" t="s">
        <v>522</v>
      </c>
      <c r="I46" t="s">
        <v>523</v>
      </c>
    </row>
    <row r="48" spans="1:9" ht="18">
      <c r="A48" s="109" t="s">
        <v>524</v>
      </c>
    </row>
    <row r="49" spans="1:4">
      <c r="A49" s="88" t="s">
        <v>525</v>
      </c>
    </row>
    <row r="50" spans="1:4">
      <c r="A50" t="s">
        <v>526</v>
      </c>
    </row>
    <row r="51" spans="1:4">
      <c r="A51" s="101" t="s">
        <v>527</v>
      </c>
    </row>
    <row r="52" spans="1:4">
      <c r="A52" t="s">
        <v>528</v>
      </c>
    </row>
    <row r="54" spans="1:4">
      <c r="A54" t="s">
        <v>521</v>
      </c>
      <c r="B54" t="s">
        <v>530</v>
      </c>
    </row>
    <row r="55" spans="1:4">
      <c r="D55" t="s">
        <v>523</v>
      </c>
    </row>
    <row r="57" spans="1:4">
      <c r="D57" t="s">
        <v>531</v>
      </c>
    </row>
    <row r="59" spans="1:4" ht="30">
      <c r="A59" s="112" t="s">
        <v>33</v>
      </c>
      <c r="B59" s="112" t="s">
        <v>532</v>
      </c>
      <c r="C59" s="112" t="s">
        <v>347</v>
      </c>
    </row>
    <row r="60" spans="1:4">
      <c r="A60" s="53" t="s">
        <v>36</v>
      </c>
      <c r="B60" s="53">
        <v>70000</v>
      </c>
      <c r="C60" s="69">
        <v>0.1</v>
      </c>
    </row>
    <row r="61" spans="1:4">
      <c r="A61" s="53" t="s">
        <v>158</v>
      </c>
      <c r="B61" s="53">
        <v>50000</v>
      </c>
      <c r="C61" s="69">
        <v>0.08</v>
      </c>
    </row>
    <row r="62" spans="1:4">
      <c r="A62" s="53" t="s">
        <v>34</v>
      </c>
      <c r="B62" s="53">
        <v>45000</v>
      </c>
      <c r="C62" s="69">
        <v>0.05</v>
      </c>
    </row>
    <row r="63" spans="1:4">
      <c r="A63" s="53" t="s">
        <v>37</v>
      </c>
      <c r="B63" s="53">
        <v>60000</v>
      </c>
      <c r="C63" s="69">
        <v>7.0000000000000007E-2</v>
      </c>
    </row>
    <row r="65" spans="1:1" ht="18">
      <c r="A65" s="109" t="s">
        <v>533</v>
      </c>
    </row>
    <row r="66" spans="1:1">
      <c r="A66" s="88" t="s">
        <v>534</v>
      </c>
    </row>
    <row r="67" spans="1:1">
      <c r="A67" t="s">
        <v>535</v>
      </c>
    </row>
    <row r="68" spans="1:1">
      <c r="A68" s="101" t="s">
        <v>536</v>
      </c>
    </row>
    <row r="69" spans="1:1">
      <c r="A69" s="101" t="s">
        <v>537</v>
      </c>
    </row>
    <row r="70" spans="1:1">
      <c r="A70" s="101" t="s">
        <v>538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Excel_Main</vt:lpstr>
      <vt:lpstr>Practice_Excel</vt:lpstr>
      <vt:lpstr>Excel_Practice_25</vt:lpstr>
      <vt:lpstr>Level-Up Revision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Ujjawal Prasad</dc:creator>
  <cp:lastModifiedBy>Ujjawal Prasad</cp:lastModifiedBy>
  <dcterms:created xsi:type="dcterms:W3CDTF">2026-09-02T10:15:38Z</dcterms:created>
  <dcterms:modified xsi:type="dcterms:W3CDTF">2026-09-24T16:34:51Z</dcterms:modified>
</cp:coreProperties>
</file>